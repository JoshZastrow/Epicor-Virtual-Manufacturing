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Engineering\Josh Zastrow\Shop Vision\"/>
    </mc:Choice>
  </mc:AlternateContent>
  <bookViews>
    <workbookView xWindow="0" yWindow="0" windowWidth="28800" windowHeight="12135"/>
  </bookViews>
  <sheets>
    <sheet name="ShopFloor" sheetId="2" r:id="rId1"/>
    <sheet name="LaborData" sheetId="3" r:id="rId2"/>
  </sheets>
  <functionGroups builtInGroupCount="18"/>
  <definedNames>
    <definedName name="ActiveLabor" localSheetId="1" hidden="1">LaborData!$A$1:$O$65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3" l="1"/>
  <c r="P3" i="3"/>
  <c r="P4" i="3"/>
  <c r="P5" i="3"/>
  <c r="P6" i="3"/>
  <c r="P7" i="3"/>
  <c r="P8" i="3"/>
  <c r="P9" i="3"/>
  <c r="P10" i="3"/>
  <c r="P11" i="3"/>
  <c r="P12" i="3"/>
  <c r="P13" i="3"/>
  <c r="P14" i="3"/>
  <c r="P16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1" i="3"/>
  <c r="P62" i="3"/>
  <c r="P63" i="3"/>
  <c r="P64" i="3"/>
  <c r="P65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R2" i="3"/>
  <c r="R3" i="3"/>
  <c r="R4" i="3"/>
  <c r="R5" i="3"/>
  <c r="R10" i="3"/>
  <c r="R11" i="3"/>
  <c r="R12" i="3"/>
  <c r="R13" i="3"/>
  <c r="R20" i="3"/>
  <c r="R21" i="3"/>
  <c r="R22" i="3"/>
  <c r="R23" i="3"/>
  <c r="R28" i="3"/>
  <c r="R29" i="3"/>
  <c r="R30" i="3"/>
  <c r="R31" i="3"/>
  <c r="R36" i="3"/>
  <c r="R37" i="3"/>
  <c r="R38" i="3"/>
  <c r="R39" i="3"/>
  <c r="R44" i="3"/>
  <c r="R45" i="3"/>
  <c r="R47" i="3"/>
  <c r="R48" i="3"/>
  <c r="R53" i="3"/>
  <c r="R54" i="3"/>
  <c r="R55" i="3"/>
  <c r="R56" i="3"/>
  <c r="R62" i="3"/>
  <c r="R63" i="3"/>
  <c r="R64" i="3"/>
  <c r="R65" i="3"/>
  <c r="S2" i="3"/>
  <c r="S3" i="3"/>
  <c r="S4" i="3"/>
  <c r="S5" i="3"/>
  <c r="S6" i="3"/>
  <c r="R6" i="3" s="1"/>
  <c r="S7" i="3"/>
  <c r="R7" i="3" s="1"/>
  <c r="S8" i="3"/>
  <c r="R8" i="3" s="1"/>
  <c r="S9" i="3"/>
  <c r="R9" i="3" s="1"/>
  <c r="S10" i="3"/>
  <c r="S11" i="3"/>
  <c r="S12" i="3"/>
  <c r="S13" i="3"/>
  <c r="S14" i="3"/>
  <c r="R14" i="3" s="1"/>
  <c r="S16" i="3"/>
  <c r="R16" i="3" s="1"/>
  <c r="S18" i="3"/>
  <c r="R18" i="3" s="1"/>
  <c r="S19" i="3"/>
  <c r="R19" i="3" s="1"/>
  <c r="S20" i="3"/>
  <c r="S21" i="3"/>
  <c r="S22" i="3"/>
  <c r="S23" i="3"/>
  <c r="S24" i="3"/>
  <c r="R24" i="3" s="1"/>
  <c r="S25" i="3"/>
  <c r="R25" i="3" s="1"/>
  <c r="S26" i="3"/>
  <c r="R26" i="3" s="1"/>
  <c r="S27" i="3"/>
  <c r="R27" i="3" s="1"/>
  <c r="S28" i="3"/>
  <c r="S29" i="3"/>
  <c r="S30" i="3"/>
  <c r="S31" i="3"/>
  <c r="S32" i="3"/>
  <c r="R32" i="3" s="1"/>
  <c r="S33" i="3"/>
  <c r="R33" i="3" s="1"/>
  <c r="S34" i="3"/>
  <c r="R34" i="3" s="1"/>
  <c r="S35" i="3"/>
  <c r="R35" i="3" s="1"/>
  <c r="S36" i="3"/>
  <c r="S37" i="3"/>
  <c r="S38" i="3"/>
  <c r="S39" i="3"/>
  <c r="S40" i="3"/>
  <c r="R40" i="3" s="1"/>
  <c r="S41" i="3"/>
  <c r="R41" i="3" s="1"/>
  <c r="S42" i="3"/>
  <c r="R42" i="3" s="1"/>
  <c r="S43" i="3"/>
  <c r="R43" i="3" s="1"/>
  <c r="S44" i="3"/>
  <c r="S45" i="3"/>
  <c r="S47" i="3"/>
  <c r="S48" i="3"/>
  <c r="S49" i="3"/>
  <c r="R49" i="3" s="1"/>
  <c r="S50" i="3"/>
  <c r="R50" i="3" s="1"/>
  <c r="S51" i="3"/>
  <c r="R51" i="3" s="1"/>
  <c r="S52" i="3"/>
  <c r="R52" i="3" s="1"/>
  <c r="S53" i="3"/>
  <c r="S54" i="3"/>
  <c r="S55" i="3"/>
  <c r="S56" i="3"/>
  <c r="S57" i="3"/>
  <c r="R57" i="3" s="1"/>
  <c r="S58" i="3"/>
  <c r="R58" i="3" s="1"/>
  <c r="S59" i="3"/>
  <c r="R59" i="3" s="1"/>
  <c r="S61" i="3"/>
  <c r="R61" i="3" s="1"/>
  <c r="S62" i="3"/>
  <c r="S63" i="3"/>
  <c r="S64" i="3"/>
  <c r="S65" i="3"/>
  <c r="U1" i="3" l="1"/>
  <c r="P60" i="3" l="1"/>
  <c r="R60" i="3" s="1"/>
  <c r="S60" i="3"/>
  <c r="P15" i="3"/>
  <c r="R15" i="3" s="1"/>
  <c r="S15" i="3"/>
  <c r="S17" i="3"/>
  <c r="P46" i="3"/>
  <c r="R46" i="3" s="1"/>
  <c r="S46" i="3"/>
  <c r="P17" i="3"/>
  <c r="R17" i="3" s="1"/>
</calcChain>
</file>

<file path=xl/connections.xml><?xml version="1.0" encoding="utf-8"?>
<connections xmlns="http://schemas.openxmlformats.org/spreadsheetml/2006/main">
  <connection id="1" interval="1" name="ActiveLabor" type="1" refreshedVersion="5" background="1" refreshOnLoad="1" saveData="1">
    <dbPr connection="DRIVER=SQL Server;SERVER=HEMSQL1;UID=Joshua Zastrow;Trusted_Connection=Yes;APP=Microsoft Office 2013;WSID=D3BJ1P12;DATABASE=ERP10PROD" command="Select  [Resource].[ResourceID] as [Resource ID],_x000d__x000a_        [LaborActivity].[JobHead_JobNum] as [JobNum],_x000d__x000a_        [LaborActivity].[JobHead_PartNum] as [PartNum],_x000d__x000a_        [LaborActivity].[JobHead_ProdQty] as [ProdQty],_x000d__x000a_        [LaborActivity].[JobHead_ReqDueDate] as [ReqDueDate],_x000d__x000a_        [LaborActivity].[OpNum] as [OpNum],_x000d__x000a_        [LaborActivity].[EmpBasic_FirstName] as [Employee],_x000d__x000a_        [LaborActivity].[LaborDtl_ClockInDate] as [ClockInDate],_x000d__x000a_        [LaborActivity].[Resource_Description] as [ResourceDescription],_x000d__x000a_        [LaborActivity].[LaborDtl_ClockinTime] as [ClockinTime],_x000d__x000a_        [LaborActivity].[LaborDtl_LaborType] as [LaborType],_x000d__x000a_        [LaborActivity].[JobOpDtl_ProdStandard] as [ProdStandard],_x000d__x000a_        [LaborActivity].[LaborHistory_TotalLabor] as [TotalLabor],_x000d__x000a_        [LaborActivity].[SetupTime]/24 as [SetupTime],_x000d__x000a_        [LaborActivity].[ProdTime]/24 as [ProdTime]_x000d__x000a__x000d__x000a_FROM Erp.Resource as Resource_x000d__x000a_ FULL OUTER JOIN (SELECT_x000d__x000a_  [JobHead].[JobNum] as [JobHead_JobNum],_x000d__x000a_  [JobHead].[PartNum] as [JobHead_PartNum],_x000d__x000a_  [JobHead].[ProdQty] as [JobHead_ProdQty],_x000d__x000a_  [JobHead].[ReqDueDate] as [JobHead_ReqDueDate],_x000d__x000a_  [LaborDtl].[OprSeq] as [OpNum],_x000d__x000a_  [EmpBasic].[FirstName] as [EmpBasic_FirstName],_x000d__x000a_  [LaborDtl].[ClockInDate] as [LaborDtl_ClockInDate],_x000d__x000a_  [LaborDtl].[ResourceID] as [LaborDtl_ResourceID],_x000d__x000a_  [Resource].[Description] as [Resource_Description],_x000d__x000a_  [Resource].[ResourceType] as [ResourceType],_x000d__x000a_  [LaborDtl].[ClockinTime]/24 as [LaborDtl_ClockinTime],_x000d__x000a_  [LaborDtl].[LaborType] as [LaborDtl_LaborType],_x000d__x000a_  [JobOpDtl].[ProdStandard] as [JobOpDtl_ProdStandard],_x000d__x000a_  [JobOpDtl].[EstSetHoursPerMch] as [SetupTime],_x000d__x000a_  [JobOpDtl].[EstProdHours] as [ProdTime],_x000d__x000a_  [LaborHistory].[TotalLabor] as [LaborHistory_TotalLabor]_x000d__x000a__x000d__x000a_FROM Erp.LaborDtl as LaborDtl_x000d__x000a_  INNER JOIN Erp.JobHead as JobHead_x000d__x000a_    ON   _x0009_LaborDtl.Company = JobHead.Company_x000d__x000a_    AND  _x0009_LaborDtl.JobNum = JobHead.JobNum_x000d__x000a__x000d__x000a_  INNER JOIN Erp.EmpBasic as EmpBasic_x000d__x000a_    ON   _x0009_LaborDtl.Company = EmpBasic.Company_x000d__x000a_    AND  _x0009_LaborDtl.EmployeeNum = EmpBasic.EmpID_x000d__x000a_  INNER JOIN Erp.Resource as Resource_x000d__x000a_    ON   _x0009_LaborDtl.Company = Resource.Company_x000d__x000a_    AND  _x0009_LaborDtl.ResourceID = Resource.ResourceID_x000d__x000a_  INNER JOIN Erp.JobOpDtl as JobOpDtl_x000d__x000a_    ON   _x0009_LaborDtl.Company = JobOpDtl.Company_x000d__x000a_    AND  _x0009_LaborDtl.JobNum = JobOpDtl.JobNum_x000d__x000a_    AND  _x0009_LaborDtl.OprSeq = JobOpDtl.OprSeq_x000d__x000a__x000d__x000a_  LEFT JOIN ( --LABOR HISTORY SUB QUERY_x000d__x000a_        SELECT_x000d__x000a_        l.JobNum,_x000d__x000a_        l.OprSeq ,_x000d__x000a_        SUM(l.LaborQty)  as TotalLabor,_x000d__x000a_        jh.PartNum_x000d__x000a__x000d__x000a_        FROM Erp.LaborDtl l_x000d__x000a_          INNER JOIN Erp.JobHead jh_x000d__x000a_            ON  l.Company = jh.Company_x000d__x000a_            AND l.JobNum = jh.JobNum_x000d__x000a__x000d__x000a_        GROUP BY l.JobNum, l.OprSeq, jh.PartNum_x000d__x000a_        HAVING COUNT(CASE ActiveTrans WHEN 1 THEN 1 END) &gt;0_x000d__x000a_            ) AS LaborHistory_x000d__x000a__x000d__x000a_    ON LaborDtl.JobNum = LaborHistory.JobNum_x000d__x000a_    AND LaborDtl.OprSeq = LaborHistory.OprSeq_x000d__x000a_  --Active transactions with a clock in date of today_x000d__x000a_  WHERE LaborDtl.ActiveTrans = 1 AND convert(varchar(10), LaborDtl.ClockInDate, 102)_x000d__x000a_    = convert(varchar(10), getdate(), 102)) as LaborActivity_x000d__x000a__x000d__x000a_    ON Resource.ResourceID = LaborActivity.LaborDtl_ResourceID_x000d__x000a__x000d__x000a_  WHERE Resource.ResourceType = 'M'"/>
  </connection>
</connections>
</file>

<file path=xl/sharedStrings.xml><?xml version="1.0" encoding="utf-8"?>
<sst xmlns="http://schemas.openxmlformats.org/spreadsheetml/2006/main" count="111" uniqueCount="105">
  <si>
    <t>Resource ID</t>
  </si>
  <si>
    <t>OpNum</t>
  </si>
  <si>
    <t>C107</t>
  </si>
  <si>
    <t>C111</t>
  </si>
  <si>
    <t>C112</t>
  </si>
  <si>
    <t>CG101</t>
  </si>
  <si>
    <t>CG102</t>
  </si>
  <si>
    <t>CG103</t>
  </si>
  <si>
    <t>CS101</t>
  </si>
  <si>
    <t>DEB109</t>
  </si>
  <si>
    <t>EDM102</t>
  </si>
  <si>
    <t>Grind</t>
  </si>
  <si>
    <t>H103</t>
  </si>
  <si>
    <t>H104</t>
  </si>
  <si>
    <t>IDLE</t>
  </si>
  <si>
    <t>INSPECT</t>
  </si>
  <si>
    <t>INSPFIN</t>
  </si>
  <si>
    <t>M108</t>
  </si>
  <si>
    <t>P</t>
  </si>
  <si>
    <t>M116</t>
  </si>
  <si>
    <t>M117</t>
  </si>
  <si>
    <t>M122</t>
  </si>
  <si>
    <t>M123</t>
  </si>
  <si>
    <t>M124</t>
  </si>
  <si>
    <t>M125</t>
  </si>
  <si>
    <t>M203</t>
  </si>
  <si>
    <t>PM105</t>
  </si>
  <si>
    <t>PM106</t>
  </si>
  <si>
    <t>PM107</t>
  </si>
  <si>
    <t>S107</t>
  </si>
  <si>
    <t>S108</t>
  </si>
  <si>
    <t>SG100</t>
  </si>
  <si>
    <t>SG104</t>
  </si>
  <si>
    <t>SG105</t>
  </si>
  <si>
    <t>SG106</t>
  </si>
  <si>
    <t>SM101</t>
  </si>
  <si>
    <t>SM102</t>
  </si>
  <si>
    <t>SM103</t>
  </si>
  <si>
    <t>SM104</t>
  </si>
  <si>
    <t>SM105</t>
  </si>
  <si>
    <t>SM106</t>
  </si>
  <si>
    <t>SM111</t>
  </si>
  <si>
    <t>SM113</t>
  </si>
  <si>
    <t>SM114</t>
  </si>
  <si>
    <t>SW135</t>
  </si>
  <si>
    <t>SW136</t>
  </si>
  <si>
    <t>T128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</si>
  <si>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</si>
  <si>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</si>
  <si>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</si>
  <si>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</si>
  <si>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</si>
  <si>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</si>
  <si>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</si>
  <si>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</si>
  <si>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</si>
  <si>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</si>
  <si>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</si>
  <si>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T155</t>
  </si>
  <si>
    <t>T156</t>
  </si>
  <si>
    <t>T157</t>
  </si>
  <si>
    <t>T158</t>
  </si>
  <si>
    <t>020334</t>
  </si>
  <si>
    <t>1709M39P52</t>
  </si>
  <si>
    <t>2016-05-24</t>
  </si>
  <si>
    <t>Tan</t>
  </si>
  <si>
    <t>Hardinge HC Chucker</t>
  </si>
  <si>
    <t>T159</t>
  </si>
  <si>
    <t>T160</t>
  </si>
  <si>
    <t>T161</t>
  </si>
  <si>
    <t>T162</t>
  </si>
  <si>
    <t>T163</t>
  </si>
  <si>
    <t>Raymond</t>
  </si>
  <si>
    <t>Omniturn GT-75</t>
  </si>
  <si>
    <t>ProducedToday</t>
  </si>
  <si>
    <t>PercentComplete</t>
  </si>
  <si>
    <t>PercentToday</t>
  </si>
  <si>
    <t>TimeElapsed</t>
  </si>
  <si>
    <t>JobNum</t>
  </si>
  <si>
    <t>PartNum</t>
  </si>
  <si>
    <t>ReqDueDate</t>
  </si>
  <si>
    <t>ClockInDate</t>
  </si>
  <si>
    <t>ResourceDescription</t>
  </si>
  <si>
    <t>ClockinTime</t>
  </si>
  <si>
    <t>LaborType</t>
  </si>
  <si>
    <t>ProdStandard</t>
  </si>
  <si>
    <t>TotalLabor</t>
  </si>
  <si>
    <t>ProdQty</t>
  </si>
  <si>
    <t>Employee</t>
  </si>
  <si>
    <t>Nikone</t>
  </si>
  <si>
    <t>2016-07-06</t>
  </si>
  <si>
    <t>Peter</t>
  </si>
  <si>
    <t>Inspection-In Process</t>
  </si>
  <si>
    <t>Fanuc Robodrill T-14iE</t>
  </si>
  <si>
    <t>020145</t>
  </si>
  <si>
    <t>4131T86P01</t>
  </si>
  <si>
    <t>2016-04-03</t>
  </si>
  <si>
    <t>020175</t>
  </si>
  <si>
    <t>9538M89P05</t>
  </si>
  <si>
    <t>2016-03-10</t>
  </si>
  <si>
    <t>020288</t>
  </si>
  <si>
    <t>L34518P08</t>
  </si>
  <si>
    <t>2016-08-19</t>
  </si>
  <si>
    <t>SetupTime</t>
  </si>
  <si>
    <t>ProdTime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</si>
</sst>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8" formatCode="h:mm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168" fontId="0" fillId="2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h:mm;@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8" formatCode="h:mm;@"/>
      <alignment horizontal="center" vertical="center" textRotation="0" wrapText="0" indent="0" justifyLastLine="0" shrinkToFit="0" readingOrder="0"/>
    </dxf>
    <dxf>
      <numFmt numFmtId="168" formatCode="h:mm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95250</xdr:colOff>
      <xdr:row>45</xdr:row>
      <xdr:rowOff>0</xdr:rowOff>
    </xdr:to>
    <xdr:pic>
      <xdr:nvPicPr>
        <xdr:cNvPr id="3" name="First Floo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688485" cy="863973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17</xdr:col>
      <xdr:colOff>542925</xdr:colOff>
      <xdr:row>3</xdr:row>
      <xdr:rowOff>47625</xdr:rowOff>
    </xdr:from>
    <xdr:to>
      <xdr:col>21</xdr:col>
      <xdr:colOff>495300</xdr:colOff>
      <xdr:row>7</xdr:row>
      <xdr:rowOff>47344</xdr:rowOff>
    </xdr:to>
    <xdr:grpSp>
      <xdr:nvGrpSpPr>
        <xdr:cNvPr id="4" name="SM102"/>
        <xdr:cNvGrpSpPr/>
      </xdr:nvGrpSpPr>
      <xdr:grpSpPr>
        <a:xfrm>
          <a:off x="11106150" y="61912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5" name="JobNum_SM10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" name="ReqQty_SM10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" name="Info_SM10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8" name="Status_SM10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Progress_SM10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0" name="Image_SM10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7</xdr:col>
      <xdr:colOff>66674</xdr:colOff>
      <xdr:row>28</xdr:row>
      <xdr:rowOff>86005</xdr:rowOff>
    </xdr:from>
    <xdr:to>
      <xdr:col>11</xdr:col>
      <xdr:colOff>266699</xdr:colOff>
      <xdr:row>32</xdr:row>
      <xdr:rowOff>142874</xdr:rowOff>
    </xdr:to>
    <xdr:grpSp>
      <xdr:nvGrpSpPr>
        <xdr:cNvPr id="11" name="T148"/>
        <xdr:cNvGrpSpPr/>
      </xdr:nvGrpSpPr>
      <xdr:grpSpPr>
        <a:xfrm>
          <a:off x="4533899" y="5420005"/>
          <a:ext cx="2638425" cy="818869"/>
          <a:chOff x="1371600" y="5296180"/>
          <a:chExt cx="2486024" cy="818869"/>
        </a:xfrm>
        <a:scene3d>
          <a:camera prst="orthographicFront">
            <a:rot lat="2400000" lon="0" rev="0"/>
          </a:camera>
          <a:lightRig rig="threePt" dir="t"/>
        </a:scene3d>
      </xdr:grpSpPr>
      <xdr:sp macro="" textlink="">
        <xdr:nvSpPr>
          <xdr:cNvPr id="12" name="JobNum_T14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" name="ReqQty_T14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" name="Info_T14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5" name="Status_T14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rogress_T14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7" name="Image_T14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</xdr:col>
      <xdr:colOff>104774</xdr:colOff>
      <xdr:row>27</xdr:row>
      <xdr:rowOff>142876</xdr:rowOff>
    </xdr:from>
    <xdr:to>
      <xdr:col>6</xdr:col>
      <xdr:colOff>323849</xdr:colOff>
      <xdr:row>32</xdr:row>
      <xdr:rowOff>171450</xdr:rowOff>
    </xdr:to>
    <xdr:grpSp>
      <xdr:nvGrpSpPr>
        <xdr:cNvPr id="18" name="T149"/>
        <xdr:cNvGrpSpPr/>
      </xdr:nvGrpSpPr>
      <xdr:grpSpPr>
        <a:xfrm>
          <a:off x="1523999" y="5286376"/>
          <a:ext cx="2657475" cy="981074"/>
          <a:chOff x="1371600" y="5296180"/>
          <a:chExt cx="2486024" cy="818869"/>
        </a:xfrm>
        <a:scene3d>
          <a:camera prst="orthographicFront">
            <a:rot lat="3000000" lon="0" rev="0"/>
          </a:camera>
          <a:lightRig rig="threePt" dir="t"/>
        </a:scene3d>
      </xdr:grpSpPr>
      <xdr:sp macro="" textlink="">
        <xdr:nvSpPr>
          <xdr:cNvPr id="19" name="JobNum_T149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0" name="ReqQty_T149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1" name="Info_T149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22" name="Status_T149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Progress_T149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4" name="Image_T149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11</xdr:col>
      <xdr:colOff>571499</xdr:colOff>
      <xdr:row>29</xdr:row>
      <xdr:rowOff>38380</xdr:rowOff>
    </xdr:from>
    <xdr:to>
      <xdr:col>16</xdr:col>
      <xdr:colOff>161924</xdr:colOff>
      <xdr:row>33</xdr:row>
      <xdr:rowOff>95249</xdr:rowOff>
    </xdr:to>
    <xdr:grpSp>
      <xdr:nvGrpSpPr>
        <xdr:cNvPr id="25" name="T147"/>
        <xdr:cNvGrpSpPr/>
      </xdr:nvGrpSpPr>
      <xdr:grpSpPr>
        <a:xfrm>
          <a:off x="7477124" y="5562880"/>
          <a:ext cx="2638425" cy="818869"/>
          <a:chOff x="1371600" y="5296180"/>
          <a:chExt cx="2486024" cy="818869"/>
        </a:xfrm>
        <a:scene3d>
          <a:camera prst="orthographicFront">
            <a:rot lat="2400000" lon="0" rev="0"/>
          </a:camera>
          <a:lightRig rig="threePt" dir="t"/>
        </a:scene3d>
      </xdr:grpSpPr>
      <xdr:sp macro="" textlink="">
        <xdr:nvSpPr>
          <xdr:cNvPr id="26" name="JobNum_T14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7" name="ReqQty_T14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8" name="Info_T14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29" name="Status_T14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Progress_T14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1" name="Image_T14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6</xdr:col>
      <xdr:colOff>533400</xdr:colOff>
      <xdr:row>19</xdr:row>
      <xdr:rowOff>95530</xdr:rowOff>
    </xdr:from>
    <xdr:to>
      <xdr:col>10</xdr:col>
      <xdr:colOff>581024</xdr:colOff>
      <xdr:row>23</xdr:row>
      <xdr:rowOff>152399</xdr:rowOff>
    </xdr:to>
    <xdr:grpSp>
      <xdr:nvGrpSpPr>
        <xdr:cNvPr id="32" name="T145"/>
        <xdr:cNvGrpSpPr/>
      </xdr:nvGrpSpPr>
      <xdr:grpSpPr>
        <a:xfrm>
          <a:off x="4391025" y="3715030"/>
          <a:ext cx="2486024" cy="818869"/>
          <a:chOff x="1371600" y="5296180"/>
          <a:chExt cx="2486024" cy="818869"/>
        </a:xfrm>
      </xdr:grpSpPr>
      <xdr:sp macro="" textlink="">
        <xdr:nvSpPr>
          <xdr:cNvPr id="33" name="JobNum_T14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4" name="ReqQty_T14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5" name="Info_T14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6" name="Status_T14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Progress_T14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8" name="Image_T14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20</xdr:col>
      <xdr:colOff>190500</xdr:colOff>
      <xdr:row>19</xdr:row>
      <xdr:rowOff>76480</xdr:rowOff>
    </xdr:from>
    <xdr:to>
      <xdr:col>24</xdr:col>
      <xdr:colOff>419100</xdr:colOff>
      <xdr:row>23</xdr:row>
      <xdr:rowOff>133349</xdr:rowOff>
    </xdr:to>
    <xdr:grpSp>
      <xdr:nvGrpSpPr>
        <xdr:cNvPr id="39" name="SW136"/>
        <xdr:cNvGrpSpPr/>
      </xdr:nvGrpSpPr>
      <xdr:grpSpPr>
        <a:xfrm>
          <a:off x="12582525" y="3695980"/>
          <a:ext cx="2667000" cy="818869"/>
          <a:chOff x="1371600" y="5296180"/>
          <a:chExt cx="2559142" cy="818869"/>
        </a:xfrm>
      </xdr:grpSpPr>
      <xdr:sp macro="" textlink="">
        <xdr:nvSpPr>
          <xdr:cNvPr id="40" name="JobNum_SW136"/>
          <xdr:cNvSpPr/>
        </xdr:nvSpPr>
        <xdr:spPr>
          <a:xfrm>
            <a:off x="3181349" y="5682066"/>
            <a:ext cx="749393" cy="19485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1" name="ReqQty_SW136"/>
          <xdr:cNvSpPr/>
        </xdr:nvSpPr>
        <xdr:spPr>
          <a:xfrm>
            <a:off x="3190875" y="5895975"/>
            <a:ext cx="703307" cy="18097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2" name="Info_SW13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3" name="Status_SW13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Progress_SW13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Image_SW13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266700</xdr:colOff>
      <xdr:row>20</xdr:row>
      <xdr:rowOff>104775</xdr:rowOff>
    </xdr:from>
    <xdr:to>
      <xdr:col>16</xdr:col>
      <xdr:colOff>219075</xdr:colOff>
      <xdr:row>24</xdr:row>
      <xdr:rowOff>104774</xdr:rowOff>
    </xdr:to>
    <xdr:grpSp>
      <xdr:nvGrpSpPr>
        <xdr:cNvPr id="46" name="T146"/>
        <xdr:cNvGrpSpPr/>
      </xdr:nvGrpSpPr>
      <xdr:grpSpPr>
        <a:xfrm>
          <a:off x="7781925" y="3914775"/>
          <a:ext cx="2390775" cy="761999"/>
          <a:chOff x="1371600" y="5296180"/>
          <a:chExt cx="2486024" cy="818869"/>
        </a:xfrm>
      </xdr:grpSpPr>
      <xdr:sp macro="" textlink="">
        <xdr:nvSpPr>
          <xdr:cNvPr id="47" name="JobNum_T14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8" name="ReqQty_T14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9" name="Info_T14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0" name="Status_T14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Progress_T14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2" name="Image_T14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0</xdr:col>
      <xdr:colOff>0</xdr:colOff>
      <xdr:row>22</xdr:row>
      <xdr:rowOff>133630</xdr:rowOff>
    </xdr:from>
    <xdr:to>
      <xdr:col>4</xdr:col>
      <xdr:colOff>66675</xdr:colOff>
      <xdr:row>26</xdr:row>
      <xdr:rowOff>190499</xdr:rowOff>
    </xdr:to>
    <xdr:grpSp>
      <xdr:nvGrpSpPr>
        <xdr:cNvPr id="53" name="T128"/>
        <xdr:cNvGrpSpPr/>
      </xdr:nvGrpSpPr>
      <xdr:grpSpPr>
        <a:xfrm>
          <a:off x="0" y="4324630"/>
          <a:ext cx="2705100" cy="818869"/>
          <a:chOff x="1371600" y="5296180"/>
          <a:chExt cx="2486024" cy="818869"/>
        </a:xfrm>
      </xdr:grpSpPr>
      <xdr:sp macro="" textlink="">
        <xdr:nvSpPr>
          <xdr:cNvPr id="54" name="JobNum_T12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5" name="ReqQty_T12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6" name="Info_T12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7" name="Status_T12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Progress_T12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9" name="Image_T12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7</xdr:col>
      <xdr:colOff>57151</xdr:colOff>
      <xdr:row>13</xdr:row>
      <xdr:rowOff>123825</xdr:rowOff>
    </xdr:from>
    <xdr:to>
      <xdr:col>11</xdr:col>
      <xdr:colOff>200025</xdr:colOff>
      <xdr:row>17</xdr:row>
      <xdr:rowOff>66675</xdr:rowOff>
    </xdr:to>
    <xdr:grpSp>
      <xdr:nvGrpSpPr>
        <xdr:cNvPr id="60" name="T144"/>
        <xdr:cNvGrpSpPr/>
      </xdr:nvGrpSpPr>
      <xdr:grpSpPr>
        <a:xfrm>
          <a:off x="4524376" y="2600325"/>
          <a:ext cx="2581274" cy="704850"/>
          <a:chOff x="1371600" y="5296180"/>
          <a:chExt cx="2486024" cy="818869"/>
        </a:xfrm>
        <a:scene3d>
          <a:camera prst="perspectiveBelow">
            <a:rot lat="2100000" lon="60000" rev="0"/>
          </a:camera>
          <a:lightRig rig="threePt" dir="t"/>
        </a:scene3d>
      </xdr:grpSpPr>
      <xdr:sp macro="" textlink="">
        <xdr:nvSpPr>
          <xdr:cNvPr id="61" name="JobNum_T14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2" name="ReqQty_T14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3" name="Info_T14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4" name="Status_T14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Progress_T14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6" name="Image_T14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209550</xdr:colOff>
      <xdr:row>29</xdr:row>
      <xdr:rowOff>162205</xdr:rowOff>
    </xdr:from>
    <xdr:to>
      <xdr:col>20</xdr:col>
      <xdr:colOff>257174</xdr:colOff>
      <xdr:row>34</xdr:row>
      <xdr:rowOff>28574</xdr:rowOff>
    </xdr:to>
    <xdr:grpSp>
      <xdr:nvGrpSpPr>
        <xdr:cNvPr id="67" name="M117"/>
        <xdr:cNvGrpSpPr/>
      </xdr:nvGrpSpPr>
      <xdr:grpSpPr>
        <a:xfrm>
          <a:off x="10163175" y="5686705"/>
          <a:ext cx="2486024" cy="818869"/>
          <a:chOff x="1371600" y="5296180"/>
          <a:chExt cx="2486024" cy="818869"/>
        </a:xfrm>
        <a:scene3d>
          <a:camera prst="orthographicFront">
            <a:rot lat="2400000" lon="60000" rev="0"/>
          </a:camera>
          <a:lightRig rig="threePt" dir="t"/>
        </a:scene3d>
      </xdr:grpSpPr>
      <xdr:sp macro="" textlink="">
        <xdr:nvSpPr>
          <xdr:cNvPr id="68" name="JobNum_M11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9" name="ReqQty_M11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0" name="Info_M11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1" name="Status_M11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Progress_M11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73" name="Image_M11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20</xdr:col>
      <xdr:colOff>257175</xdr:colOff>
      <xdr:row>30</xdr:row>
      <xdr:rowOff>28855</xdr:rowOff>
    </xdr:from>
    <xdr:to>
      <xdr:col>24</xdr:col>
      <xdr:colOff>523875</xdr:colOff>
      <xdr:row>34</xdr:row>
      <xdr:rowOff>85724</xdr:rowOff>
    </xdr:to>
    <xdr:grpSp>
      <xdr:nvGrpSpPr>
        <xdr:cNvPr id="74" name="M116"/>
        <xdr:cNvGrpSpPr/>
      </xdr:nvGrpSpPr>
      <xdr:grpSpPr>
        <a:xfrm>
          <a:off x="12649200" y="5743855"/>
          <a:ext cx="2705100" cy="818869"/>
          <a:chOff x="1371600" y="5296180"/>
          <a:chExt cx="2486024" cy="818869"/>
        </a:xfrm>
        <a:scene3d>
          <a:camera prst="orthographicFront">
            <a:rot lat="2400000" lon="60000" rev="0"/>
          </a:camera>
          <a:lightRig rig="threePt" dir="t"/>
        </a:scene3d>
      </xdr:grpSpPr>
      <xdr:sp macro="" textlink="">
        <xdr:nvSpPr>
          <xdr:cNvPr id="75" name="JobNum_M11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6" name="ReqQty_M11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7" name="Info_M11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8" name="Status_M11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Progress_M11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0" name="Image_M11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0</xdr:col>
      <xdr:colOff>180975</xdr:colOff>
      <xdr:row>8</xdr:row>
      <xdr:rowOff>66675</xdr:rowOff>
    </xdr:from>
    <xdr:to>
      <xdr:col>4</xdr:col>
      <xdr:colOff>104775</xdr:colOff>
      <xdr:row>12</xdr:row>
      <xdr:rowOff>133350</xdr:rowOff>
    </xdr:to>
    <xdr:grpSp>
      <xdr:nvGrpSpPr>
        <xdr:cNvPr id="81" name="T152"/>
        <xdr:cNvGrpSpPr/>
      </xdr:nvGrpSpPr>
      <xdr:grpSpPr>
        <a:xfrm>
          <a:off x="180975" y="1590675"/>
          <a:ext cx="2562225" cy="828675"/>
          <a:chOff x="1371600" y="5296180"/>
          <a:chExt cx="2562225" cy="828675"/>
        </a:xfrm>
      </xdr:grpSpPr>
      <xdr:sp macro="" textlink="">
        <xdr:nvSpPr>
          <xdr:cNvPr id="82" name="JobNum_T152"/>
          <xdr:cNvSpPr/>
        </xdr:nvSpPr>
        <xdr:spPr>
          <a:xfrm>
            <a:off x="3181349" y="5682066"/>
            <a:ext cx="752476" cy="23323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83" name="ReqQty_T152"/>
          <xdr:cNvSpPr/>
        </xdr:nvSpPr>
        <xdr:spPr>
          <a:xfrm>
            <a:off x="3190875" y="5895975"/>
            <a:ext cx="685799" cy="22888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84" name="Info_T15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85" name="Status_T15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Progress_T15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7" name="Image_T15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</xdr:col>
      <xdr:colOff>285750</xdr:colOff>
      <xdr:row>13</xdr:row>
      <xdr:rowOff>0</xdr:rowOff>
    </xdr:from>
    <xdr:to>
      <xdr:col>6</xdr:col>
      <xdr:colOff>409575</xdr:colOff>
      <xdr:row>17</xdr:row>
      <xdr:rowOff>56869</xdr:rowOff>
    </xdr:to>
    <xdr:grpSp>
      <xdr:nvGrpSpPr>
        <xdr:cNvPr id="88" name="T143"/>
        <xdr:cNvGrpSpPr/>
      </xdr:nvGrpSpPr>
      <xdr:grpSpPr>
        <a:xfrm>
          <a:off x="1704975" y="2476500"/>
          <a:ext cx="2562225" cy="818869"/>
          <a:chOff x="1371600" y="5296180"/>
          <a:chExt cx="2562225" cy="818869"/>
        </a:xfrm>
      </xdr:grpSpPr>
      <xdr:sp macro="" textlink="">
        <xdr:nvSpPr>
          <xdr:cNvPr id="89" name="JobNum_T143"/>
          <xdr:cNvSpPr/>
        </xdr:nvSpPr>
        <xdr:spPr>
          <a:xfrm>
            <a:off x="3181349" y="5682066"/>
            <a:ext cx="752476" cy="17608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020175</a:t>
            </a:r>
          </a:p>
        </xdr:txBody>
      </xdr:sp>
      <xdr:sp macro="" textlink="">
        <xdr:nvSpPr>
          <xdr:cNvPr id="90" name="ReqQty_T143"/>
          <xdr:cNvSpPr/>
        </xdr:nvSpPr>
        <xdr:spPr>
          <a:xfrm>
            <a:off x="3190875" y="5895974"/>
            <a:ext cx="704849" cy="20030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675</a:t>
            </a:r>
          </a:p>
        </xdr:txBody>
      </xdr:sp>
      <xdr:sp macro="" textlink="">
        <xdr:nvSpPr>
          <xdr:cNvPr id="91" name="Info_T14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9538M89P05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Raymond</a:t>
            </a:r>
          </a:p>
        </xdr:txBody>
      </xdr:sp>
      <xdr:sp macro="" textlink="">
        <xdr:nvSpPr>
          <xdr:cNvPr id="92" name="Status_T14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Progress_T14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97000">
                <a:srgbClr val="00FF00"/>
              </a:gs>
              <a:gs pos="98000">
                <a:srgbClr val="9B9B9B"/>
              </a:gs>
              <a:gs pos="98000">
                <a:srgbClr val="9B9B9B"/>
              </a:gs>
              <a:gs pos="99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Completed?</a:t>
            </a:r>
          </a:p>
        </xdr:txBody>
      </xdr:sp>
      <xdr:sp macro="" textlink="">
        <xdr:nvSpPr>
          <xdr:cNvPr id="94" name="Image_T14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24</xdr:col>
      <xdr:colOff>495300</xdr:colOff>
      <xdr:row>29</xdr:row>
      <xdr:rowOff>161925</xdr:rowOff>
    </xdr:from>
    <xdr:to>
      <xdr:col>29</xdr:col>
      <xdr:colOff>152400</xdr:colOff>
      <xdr:row>34</xdr:row>
      <xdr:rowOff>28294</xdr:rowOff>
    </xdr:to>
    <xdr:grpSp>
      <xdr:nvGrpSpPr>
        <xdr:cNvPr id="95" name="M108"/>
        <xdr:cNvGrpSpPr/>
      </xdr:nvGrpSpPr>
      <xdr:grpSpPr>
        <a:xfrm>
          <a:off x="15325725" y="5686425"/>
          <a:ext cx="2543175" cy="818869"/>
          <a:chOff x="1371600" y="5296180"/>
          <a:chExt cx="2543175" cy="818869"/>
        </a:xfrm>
      </xdr:grpSpPr>
      <xdr:sp macro="" textlink="">
        <xdr:nvSpPr>
          <xdr:cNvPr id="96" name="JobNum_M108"/>
          <xdr:cNvSpPr/>
        </xdr:nvSpPr>
        <xdr:spPr>
          <a:xfrm>
            <a:off x="3181349" y="5682067"/>
            <a:ext cx="733426" cy="185614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020145</a:t>
            </a:r>
          </a:p>
        </xdr:txBody>
      </xdr:sp>
      <xdr:sp macro="" textlink="">
        <xdr:nvSpPr>
          <xdr:cNvPr id="97" name="ReqQty_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162</a:t>
            </a:r>
          </a:p>
        </xdr:txBody>
      </xdr:sp>
      <xdr:sp macro="" textlink="">
        <xdr:nvSpPr>
          <xdr:cNvPr id="98" name="Info_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4131T86P01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Nikone</a:t>
            </a:r>
          </a:p>
        </xdr:txBody>
      </xdr:sp>
      <xdr:sp macro="" textlink="">
        <xdr:nvSpPr>
          <xdr:cNvPr id="99" name="Status_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0" name="Progress_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4198">
                <a:srgbClr val="00FF00"/>
              </a:gs>
              <a:gs pos="65198">
                <a:srgbClr val="9B9B9B"/>
              </a:gs>
              <a:gs pos="65432">
                <a:srgbClr val="9B9B9B"/>
              </a:gs>
              <a:gs pos="66432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</a:p>
        </xdr:txBody>
      </xdr:sp>
      <xdr:sp macro="" textlink="">
        <xdr:nvSpPr>
          <xdr:cNvPr id="101" name="Image_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21</xdr:col>
      <xdr:colOff>514350</xdr:colOff>
      <xdr:row>6</xdr:row>
      <xdr:rowOff>19050</xdr:rowOff>
    </xdr:from>
    <xdr:to>
      <xdr:col>26</xdr:col>
      <xdr:colOff>19050</xdr:colOff>
      <xdr:row>10</xdr:row>
      <xdr:rowOff>95249</xdr:rowOff>
    </xdr:to>
    <xdr:grpSp>
      <xdr:nvGrpSpPr>
        <xdr:cNvPr id="102" name="SW135"/>
        <xdr:cNvGrpSpPr/>
      </xdr:nvGrpSpPr>
      <xdr:grpSpPr>
        <a:xfrm>
          <a:off x="13515975" y="1162050"/>
          <a:ext cx="2552700" cy="838199"/>
          <a:chOff x="1371600" y="5296180"/>
          <a:chExt cx="2552700" cy="838199"/>
        </a:xfrm>
      </xdr:grpSpPr>
      <xdr:sp macro="" textlink="">
        <xdr:nvSpPr>
          <xdr:cNvPr id="103" name="JobNum_SW135"/>
          <xdr:cNvSpPr/>
        </xdr:nvSpPr>
        <xdr:spPr>
          <a:xfrm>
            <a:off x="3181349" y="5682066"/>
            <a:ext cx="742951" cy="204664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04" name="ReqQty_SW135"/>
          <xdr:cNvSpPr/>
        </xdr:nvSpPr>
        <xdr:spPr>
          <a:xfrm>
            <a:off x="3190875" y="5895974"/>
            <a:ext cx="704849" cy="23840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05" name="Info_SW13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06" name="Status_SW13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7" name="Progress_SW13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08" name="Image_SW13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24</xdr:col>
      <xdr:colOff>333375</xdr:colOff>
      <xdr:row>13</xdr:row>
      <xdr:rowOff>133350</xdr:rowOff>
    </xdr:from>
    <xdr:to>
      <xdr:col>28</xdr:col>
      <xdr:colOff>380999</xdr:colOff>
      <xdr:row>17</xdr:row>
      <xdr:rowOff>190219</xdr:rowOff>
    </xdr:to>
    <xdr:grpSp>
      <xdr:nvGrpSpPr>
        <xdr:cNvPr id="109" name="CS101"/>
        <xdr:cNvGrpSpPr/>
      </xdr:nvGrpSpPr>
      <xdr:grpSpPr>
        <a:xfrm>
          <a:off x="15163800" y="2609850"/>
          <a:ext cx="2486024" cy="818869"/>
          <a:chOff x="1371600" y="5296180"/>
          <a:chExt cx="2486024" cy="818869"/>
        </a:xfrm>
      </xdr:grpSpPr>
      <xdr:sp macro="" textlink="">
        <xdr:nvSpPr>
          <xdr:cNvPr id="110" name="JobNum_CS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1" name="ReqQty_CS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2" name="Info_CS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13" name="Status_CS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4" name="Progress_CS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5" name="Image_CS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561975</xdr:colOff>
      <xdr:row>39</xdr:row>
      <xdr:rowOff>133350</xdr:rowOff>
    </xdr:from>
    <xdr:to>
      <xdr:col>20</xdr:col>
      <xdr:colOff>609599</xdr:colOff>
      <xdr:row>43</xdr:row>
      <xdr:rowOff>190219</xdr:rowOff>
    </xdr:to>
    <xdr:grpSp>
      <xdr:nvGrpSpPr>
        <xdr:cNvPr id="116" name="C111"/>
        <xdr:cNvGrpSpPr/>
      </xdr:nvGrpSpPr>
      <xdr:grpSpPr>
        <a:xfrm>
          <a:off x="10515600" y="7562850"/>
          <a:ext cx="2486024" cy="818869"/>
          <a:chOff x="1371600" y="5296180"/>
          <a:chExt cx="2486024" cy="818869"/>
        </a:xfrm>
      </xdr:grpSpPr>
      <xdr:sp macro="" textlink="">
        <xdr:nvSpPr>
          <xdr:cNvPr id="117" name="JobNum_C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8" name="ReqQty_C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9" name="Info_C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20" name="Status_C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1" name="Progress_C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22" name="Image_C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17</xdr:col>
      <xdr:colOff>438150</xdr:colOff>
      <xdr:row>9</xdr:row>
      <xdr:rowOff>66675</xdr:rowOff>
    </xdr:from>
    <xdr:to>
      <xdr:col>22</xdr:col>
      <xdr:colOff>28575</xdr:colOff>
      <xdr:row>13</xdr:row>
      <xdr:rowOff>66394</xdr:rowOff>
    </xdr:to>
    <xdr:grpSp>
      <xdr:nvGrpSpPr>
        <xdr:cNvPr id="123" name="SM111"/>
        <xdr:cNvGrpSpPr/>
      </xdr:nvGrpSpPr>
      <xdr:grpSpPr>
        <a:xfrm>
          <a:off x="11001375" y="1781175"/>
          <a:ext cx="263842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24" name="JobNum_SM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25" name="ReqQty_SM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26" name="Info_SM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27" name="Status_SM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8" name="Progress_SM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29" name="Image_SM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4</xdr:col>
      <xdr:colOff>485775</xdr:colOff>
      <xdr:row>3</xdr:row>
      <xdr:rowOff>180975</xdr:rowOff>
    </xdr:from>
    <xdr:to>
      <xdr:col>9</xdr:col>
      <xdr:colOff>57150</xdr:colOff>
      <xdr:row>7</xdr:row>
      <xdr:rowOff>180694</xdr:rowOff>
    </xdr:to>
    <xdr:grpSp>
      <xdr:nvGrpSpPr>
        <xdr:cNvPr id="130" name="SM101"/>
        <xdr:cNvGrpSpPr/>
      </xdr:nvGrpSpPr>
      <xdr:grpSpPr>
        <a:xfrm>
          <a:off x="3124200" y="752475"/>
          <a:ext cx="26193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1" name="JobNum_SM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2" name="ReqQty_SM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3" name="Info_SM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34" name="Status_SM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Progress_SM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36" name="Image_SM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14</xdr:col>
      <xdr:colOff>428624</xdr:colOff>
      <xdr:row>3</xdr:row>
      <xdr:rowOff>142875</xdr:rowOff>
    </xdr:from>
    <xdr:to>
      <xdr:col>19</xdr:col>
      <xdr:colOff>133349</xdr:colOff>
      <xdr:row>7</xdr:row>
      <xdr:rowOff>142594</xdr:rowOff>
    </xdr:to>
    <xdr:grpSp>
      <xdr:nvGrpSpPr>
        <xdr:cNvPr id="137" name="SM104"/>
        <xdr:cNvGrpSpPr/>
      </xdr:nvGrpSpPr>
      <xdr:grpSpPr>
        <a:xfrm>
          <a:off x="9163049" y="714375"/>
          <a:ext cx="275272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8" name="JobNum_SM10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9" name="ReqQty_SM10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0" name="Info_SM10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41" name="Status_SM10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2" name="Progress_SM10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43" name="Image_SM10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8</xdr:col>
      <xdr:colOff>447675</xdr:colOff>
      <xdr:row>4</xdr:row>
      <xdr:rowOff>47625</xdr:rowOff>
    </xdr:from>
    <xdr:to>
      <xdr:col>13</xdr:col>
      <xdr:colOff>9525</xdr:colOff>
      <xdr:row>8</xdr:row>
      <xdr:rowOff>47344</xdr:rowOff>
    </xdr:to>
    <xdr:grpSp>
      <xdr:nvGrpSpPr>
        <xdr:cNvPr id="144" name="SM105"/>
        <xdr:cNvGrpSpPr/>
      </xdr:nvGrpSpPr>
      <xdr:grpSpPr>
        <a:xfrm>
          <a:off x="5524500" y="809625"/>
          <a:ext cx="2609850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45" name="JobNum_SM10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6" name="ReqQty_SM10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7" name="Info_SM10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48" name="Status_SM10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9" name="Progress_SM10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50" name="Image_SM10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9525</xdr:colOff>
      <xdr:row>4</xdr:row>
      <xdr:rowOff>95250</xdr:rowOff>
    </xdr:from>
    <xdr:to>
      <xdr:col>16</xdr:col>
      <xdr:colOff>323850</xdr:colOff>
      <xdr:row>8</xdr:row>
      <xdr:rowOff>75919</xdr:rowOff>
    </xdr:to>
    <xdr:grpSp>
      <xdr:nvGrpSpPr>
        <xdr:cNvPr id="151" name="SM103"/>
        <xdr:cNvGrpSpPr/>
      </xdr:nvGrpSpPr>
      <xdr:grpSpPr>
        <a:xfrm>
          <a:off x="7524750" y="857250"/>
          <a:ext cx="2752725" cy="74266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2" name="JobNum_SM10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53" name="ReqQty_SM10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54" name="Info_SM10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55" name="Status_SM10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" name="Progress_SM10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57" name="Image_SM10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15</xdr:col>
      <xdr:colOff>342900</xdr:colOff>
      <xdr:row>10</xdr:row>
      <xdr:rowOff>76200</xdr:rowOff>
    </xdr:from>
    <xdr:to>
      <xdr:col>19</xdr:col>
      <xdr:colOff>295275</xdr:colOff>
      <xdr:row>14</xdr:row>
      <xdr:rowOff>75919</xdr:rowOff>
    </xdr:to>
    <xdr:grpSp>
      <xdr:nvGrpSpPr>
        <xdr:cNvPr id="158" name="SM114"/>
        <xdr:cNvGrpSpPr/>
      </xdr:nvGrpSpPr>
      <xdr:grpSpPr>
        <a:xfrm>
          <a:off x="9686925" y="19812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9" name="JobNum_SM11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0" name="ReqQty_SM11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1" name="Info_SM11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2" name="Status_SM11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3" name="Progress_SM11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64" name="Image_SM11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504825</xdr:colOff>
      <xdr:row>11</xdr:row>
      <xdr:rowOff>114300</xdr:rowOff>
    </xdr:from>
    <xdr:to>
      <xdr:col>16</xdr:col>
      <xdr:colOff>457200</xdr:colOff>
      <xdr:row>15</xdr:row>
      <xdr:rowOff>114019</xdr:rowOff>
    </xdr:to>
    <xdr:grpSp>
      <xdr:nvGrpSpPr>
        <xdr:cNvPr id="165" name="SM108"/>
        <xdr:cNvGrpSpPr/>
      </xdr:nvGrpSpPr>
      <xdr:grpSpPr>
        <a:xfrm>
          <a:off x="8020050" y="22098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66" name="JobNum_SM10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7" name="ReqQty_S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8" name="Info_S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9" name="Status_S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0" name="Progress_S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71" name="Image_S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4</xdr:col>
      <xdr:colOff>424704</xdr:colOff>
      <xdr:row>57</xdr:row>
      <xdr:rowOff>162486</xdr:rowOff>
    </xdr:from>
    <xdr:to>
      <xdr:col>8</xdr:col>
      <xdr:colOff>416860</xdr:colOff>
      <xdr:row>62</xdr:row>
      <xdr:rowOff>9805</xdr:rowOff>
    </xdr:to>
    <xdr:grpSp>
      <xdr:nvGrpSpPr>
        <xdr:cNvPr id="186" name="C107"/>
        <xdr:cNvGrpSpPr/>
      </xdr:nvGrpSpPr>
      <xdr:grpSpPr>
        <a:xfrm>
          <a:off x="3063129" y="11087661"/>
          <a:ext cx="2430556" cy="799819"/>
          <a:chOff x="1371600" y="5296180"/>
          <a:chExt cx="2486024" cy="818869"/>
        </a:xfrm>
      </xdr:grpSpPr>
      <xdr:sp macro="" textlink="">
        <xdr:nvSpPr>
          <xdr:cNvPr id="187" name="JobNum_C10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8" name="ReqQty_C10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9" name="Info_C10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0" name="Status_C10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1" name="Progress_C10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2" name="Image_C10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</xdr:col>
      <xdr:colOff>595033</xdr:colOff>
      <xdr:row>48</xdr:row>
      <xdr:rowOff>19611</xdr:rowOff>
    </xdr:from>
    <xdr:to>
      <xdr:col>6</xdr:col>
      <xdr:colOff>54348</xdr:colOff>
      <xdr:row>52</xdr:row>
      <xdr:rowOff>76480</xdr:rowOff>
    </xdr:to>
    <xdr:grpSp>
      <xdr:nvGrpSpPr>
        <xdr:cNvPr id="193" name="C112"/>
        <xdr:cNvGrpSpPr/>
      </xdr:nvGrpSpPr>
      <xdr:grpSpPr>
        <a:xfrm>
          <a:off x="1404658" y="9230286"/>
          <a:ext cx="2507315" cy="818869"/>
          <a:chOff x="1371600" y="5296180"/>
          <a:chExt cx="2486024" cy="818869"/>
        </a:xfrm>
      </xdr:grpSpPr>
      <xdr:sp macro="" textlink="">
        <xdr:nvSpPr>
          <xdr:cNvPr id="194" name="JobNum_C11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5" name="ReqQty_C11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6" name="Info_C11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7" name="Status_C11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Progress_C11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9" name="Image_C11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8</xdr:col>
      <xdr:colOff>99733</xdr:colOff>
      <xdr:row>50</xdr:row>
      <xdr:rowOff>95811</xdr:rowOff>
    </xdr:from>
    <xdr:to>
      <xdr:col>12</xdr:col>
      <xdr:colOff>168648</xdr:colOff>
      <xdr:row>54</xdr:row>
      <xdr:rowOff>152680</xdr:rowOff>
    </xdr:to>
    <xdr:grpSp>
      <xdr:nvGrpSpPr>
        <xdr:cNvPr id="200" name="H103"/>
        <xdr:cNvGrpSpPr/>
      </xdr:nvGrpSpPr>
      <xdr:grpSpPr>
        <a:xfrm>
          <a:off x="5176558" y="9687486"/>
          <a:ext cx="2507315" cy="818869"/>
          <a:chOff x="1371600" y="5296180"/>
          <a:chExt cx="2486024" cy="818869"/>
        </a:xfrm>
      </xdr:grpSpPr>
      <xdr:sp macro="" textlink="">
        <xdr:nvSpPr>
          <xdr:cNvPr id="201" name="JobNum_H10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02" name="ReqQty_H10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03" name="Info_H10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204" name="Status_H10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Progress_H10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06" name="Image_H10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ActiveLabor" refreshOnLoad="1" connectionId="1" autoFormatId="16" applyNumberFormats="0" applyBorderFormats="0" applyFontFormats="0" applyPatternFormats="0" applyAlignmentFormats="0" applyWidthHeightFormats="0">
  <queryTableRefresh nextId="37" unboundColumnsRight="4">
    <queryTableFields count="19">
      <queryTableField id="1" name="Resource ID" tableColumnId="1"/>
      <queryTableField id="26" name="ResourceDescription" tableColumnId="9"/>
      <queryTableField id="20" name="JobNum" tableColumnId="2"/>
      <queryTableField id="21" name="PartNum" tableColumnId="3"/>
      <queryTableField id="6" name="OpNum" tableColumnId="6"/>
      <queryTableField id="23" name="ReqDueDate" tableColumnId="5"/>
      <queryTableField id="25" name="ClockInDate" tableColumnId="8"/>
      <queryTableField id="27" name="ClockinTime" tableColumnId="10"/>
      <queryTableField id="28" name="LaborType" tableColumnId="11"/>
      <queryTableField id="29" name="ProdStandard" tableColumnId="12"/>
      <queryTableField id="30" name="TotalLabor" tableColumnId="13"/>
      <queryTableField id="31" name="ProdQty" tableColumnId="18"/>
      <queryTableField id="32" name="Employee" tableColumnId="19"/>
      <queryTableField id="35" name="SetupTime" tableColumnId="4"/>
      <queryTableField id="36" name="ProdTime" tableColumnId="7"/>
      <queryTableField id="14" dataBound="0" tableColumnId="14"/>
      <queryTableField id="15" dataBound="0" tableColumnId="15"/>
      <queryTableField id="16" dataBound="0" tableColumnId="16"/>
      <queryTableField id="19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ctiveLabor_Table" displayName="ActiveLabor_Table" ref="A1:S65" tableType="queryTable" totalsRowShown="0" headerRowDxfId="20" dataDxfId="19">
  <autoFilter ref="A1:S65"/>
  <tableColumns count="19">
    <tableColumn id="1" uniqueName="1" name="Resource ID" queryTableFieldId="1" dataDxfId="18"/>
    <tableColumn id="9" uniqueName="9" name="ResourceDescription" queryTableFieldId="26" dataDxfId="17"/>
    <tableColumn id="2" uniqueName="2" name="JobNum" queryTableFieldId="20" dataDxfId="16"/>
    <tableColumn id="3" uniqueName="3" name="PartNum" queryTableFieldId="21" dataDxfId="15"/>
    <tableColumn id="6" uniqueName="6" name="OpNum" queryTableFieldId="6" dataDxfId="14"/>
    <tableColumn id="5" uniqueName="5" name="ReqDueDate" queryTableFieldId="23" dataDxfId="13"/>
    <tableColumn id="8" uniqueName="8" name="ClockInDate" queryTableFieldId="25" dataDxfId="12"/>
    <tableColumn id="10" uniqueName="10" name="ClockinTime" queryTableFieldId="27" dataDxfId="11"/>
    <tableColumn id="11" uniqueName="11" name="LaborType" queryTableFieldId="28" dataDxfId="10"/>
    <tableColumn id="12" uniqueName="12" name="ProdStandard" queryTableFieldId="29" dataDxfId="9"/>
    <tableColumn id="13" uniqueName="13" name="TotalLabor" queryTableFieldId="30" dataDxfId="8"/>
    <tableColumn id="18" uniqueName="18" name="ProdQty" queryTableFieldId="31" dataDxfId="7"/>
    <tableColumn id="19" uniqueName="19" name="Employee" queryTableFieldId="32" dataDxfId="6"/>
    <tableColumn id="4" uniqueName="4" name="SetupTime" queryTableFieldId="35" dataDxfId="5"/>
    <tableColumn id="7" uniqueName="7" name="ProdTime" queryTableFieldId="36" dataDxfId="4"/>
    <tableColumn id="14" uniqueName="14" name="ProducedToday" queryTableFieldId="14" dataDxfId="3">
      <calculatedColumnFormula>IF(ActiveLabor_Table[[#This Row],[JobNum]]&lt;&gt;"",ROUND(($U$1-ActiveLabor_Table[[#This Row],[ClockinTime]])*24*ActiveLabor_Table[[#This Row],[ProdStandard]],0),"")</calculatedColumnFormula>
    </tableColumn>
    <tableColumn id="15" uniqueName="15" name="PercentComplete" queryTableFieldId="15" dataDxfId="2" dataCellStyle="Percent">
      <calculatedColumnFormula>IFERROR(ActiveLabor_Table[[#This Row],[TotalLabor]]/ActiveLabor_Table[[#This Row],[ProdQty]],"")</calculatedColumnFormula>
    </tableColumn>
    <tableColumn id="16" uniqueName="16" name="PercentToday" queryTableFieldId="16" dataDxfId="1" dataCellStyle="Percent">
      <calculatedColumnFormula>IFERROR(IF(ActiveLabor_Table[[#This Row],[LaborType]]="P",ActiveLabor_Table[[#This Row],[ProducedToday]]/ActiveLabor_Table[[#This Row],[ProdQty]],ActiveLabor_Table[[#This Row],[TimeElapsed]]/ActiveLabor_Table[[#This Row],[SetupTime]]),"")</calculatedColumnFormula>
    </tableColumn>
    <tableColumn id="17" uniqueName="17" name="TimeElapsed" queryTableFieldId="19" dataDxfId="0" dataCellStyle="Percent">
      <calculatedColumnFormula>IF(AND(ActiveLabor_Table[[#This Row],[JobNum]]&lt;&gt;""),($U$1-ActiveLabor_Table[[#This Row],[ClockinTime]]),"")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4:BL44"/>
  <sheetViews>
    <sheetView tabSelected="1" zoomScaleNormal="100" workbookViewId="0">
      <selection activeCell="M60" sqref="M54:T60"/>
    </sheetView>
  </sheetViews>
  <sheetFormatPr defaultColWidth="0" defaultRowHeight="15" customHeight="1" x14ac:dyDescent="0.25"/>
  <cols>
    <col min="1" max="1" width="12.140625" customWidth="1"/>
    <col min="2" max="28" width="9.140625" customWidth="1"/>
    <col min="29" max="64" width="6.7109375" customWidth="1"/>
    <col min="65" max="16384" width="6.7109375" hidden="1"/>
  </cols>
  <sheetData>
    <row r="44" ht="20.25" customHeight="1" x14ac:dyDescent="0.25"/>
  </sheetData>
  <sheetProtection sheet="1" objects="1" scenarios="1" selectLockedCell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0"/>
  <sheetViews>
    <sheetView topLeftCell="A21" workbookViewId="0">
      <selection activeCell="E36" sqref="E36"/>
    </sheetView>
  </sheetViews>
  <sheetFormatPr defaultRowHeight="15" x14ac:dyDescent="0.25"/>
  <cols>
    <col min="1" max="1" width="16" style="1" bestFit="1" customWidth="1"/>
    <col min="2" max="2" width="24.140625" style="1" bestFit="1" customWidth="1"/>
    <col min="3" max="3" width="12.85546875" bestFit="1" customWidth="1"/>
    <col min="4" max="4" width="13.42578125" style="1" customWidth="1"/>
    <col min="5" max="5" width="12.42578125" style="1" customWidth="1"/>
    <col min="6" max="6" width="16.7109375" style="1" bestFit="1" customWidth="1"/>
    <col min="7" max="7" width="16.140625" style="1" customWidth="1"/>
    <col min="8" max="8" width="16.42578125" style="1" customWidth="1"/>
    <col min="9" max="9" width="14.7109375" customWidth="1"/>
    <col min="10" max="10" width="17.7109375" style="1" customWidth="1"/>
    <col min="11" max="11" width="14.85546875" style="1" customWidth="1"/>
    <col min="12" max="12" width="12.85546875" style="1" customWidth="1"/>
    <col min="13" max="13" width="14.42578125" style="1" customWidth="1"/>
    <col min="14" max="14" width="15.140625" style="1" customWidth="1"/>
    <col min="15" max="15" width="14.140625" style="1" customWidth="1"/>
    <col min="16" max="16" width="19.42578125" style="1" customWidth="1"/>
    <col min="17" max="17" width="21.28515625" style="1" customWidth="1"/>
    <col min="18" max="18" width="17.85546875" style="1" customWidth="1"/>
    <col min="19" max="19" width="16.85546875" style="1" customWidth="1"/>
    <col min="20" max="20" width="17.85546875" style="1" customWidth="1"/>
    <col min="21" max="21" width="16.85546875" style="1" customWidth="1"/>
    <col min="22" max="22" width="17.85546875" style="1" bestFit="1" customWidth="1"/>
    <col min="23" max="23" width="16.85546875" style="1" bestFit="1" customWidth="1"/>
    <col min="24" max="24" width="23.28515625" style="1" bestFit="1" customWidth="1"/>
    <col min="25" max="25" width="10.140625" style="1" bestFit="1" customWidth="1"/>
    <col min="26" max="26" width="22" style="1" bestFit="1" customWidth="1"/>
    <col min="27" max="27" width="22.5703125" style="1" bestFit="1" customWidth="1"/>
    <col min="28" max="28" width="9.140625" style="1"/>
    <col min="29" max="29" width="22.85546875" style="1" bestFit="1" customWidth="1"/>
    <col min="30" max="30" width="6" style="1" customWidth="1"/>
    <col min="31" max="31" width="24.85546875" style="1" bestFit="1" customWidth="1"/>
    <col min="32" max="32" width="25.140625" style="1" bestFit="1" customWidth="1"/>
    <col min="33" max="34" width="23.140625" style="1" customWidth="1"/>
    <col min="35" max="35" width="19" style="1" bestFit="1" customWidth="1"/>
    <col min="36" max="36" width="15.5703125" style="1" bestFit="1" customWidth="1"/>
    <col min="37" max="37" width="15.5703125" style="1" customWidth="1"/>
    <col min="38" max="38" width="13.85546875" style="1" bestFit="1" customWidth="1"/>
    <col min="39" max="16384" width="9.140625" style="1"/>
  </cols>
  <sheetData>
    <row r="1" spans="1:21" x14ac:dyDescent="0.25">
      <c r="A1" s="1" t="s">
        <v>0</v>
      </c>
      <c r="B1" s="1" t="s">
        <v>82</v>
      </c>
      <c r="C1" s="1" t="s">
        <v>78</v>
      </c>
      <c r="D1" s="1" t="s">
        <v>79</v>
      </c>
      <c r="E1" s="1" t="s">
        <v>1</v>
      </c>
      <c r="F1" s="1" t="s">
        <v>80</v>
      </c>
      <c r="G1" s="1" t="s">
        <v>81</v>
      </c>
      <c r="H1" s="1" t="s">
        <v>83</v>
      </c>
      <c r="I1" s="1" t="s">
        <v>84</v>
      </c>
      <c r="J1" s="1" t="s">
        <v>85</v>
      </c>
      <c r="K1" s="1" t="s">
        <v>86</v>
      </c>
      <c r="L1" s="1" t="s">
        <v>87</v>
      </c>
      <c r="M1" s="1" t="s">
        <v>88</v>
      </c>
      <c r="N1" s="1" t="s">
        <v>103</v>
      </c>
      <c r="O1" s="1" t="s">
        <v>104</v>
      </c>
      <c r="P1" s="1" t="s">
        <v>74</v>
      </c>
      <c r="Q1" s="1" t="s">
        <v>75</v>
      </c>
      <c r="R1" s="1" t="s">
        <v>76</v>
      </c>
      <c r="S1" s="1" t="s">
        <v>77</v>
      </c>
      <c r="U1" s="7">
        <f ca="1">NOW() - TODAY()</f>
        <v>0.67525335647951579</v>
      </c>
    </row>
    <row r="2" spans="1:21" x14ac:dyDescent="0.25">
      <c r="A2" s="1" t="s">
        <v>2</v>
      </c>
      <c r="C2" s="1"/>
      <c r="H2" s="2"/>
      <c r="I2" s="1"/>
      <c r="N2" s="5"/>
      <c r="O2" s="5"/>
      <c r="P2" s="1" t="str">
        <f>IF(ActiveLabor_Table[[#This Row],[JobNum]]&lt;&gt;"",ROUND(($U$1-ActiveLabor_Table[[#This Row],[ClockinTime]])*24*ActiveLabor_Table[[#This Row],[ProdStandard]],0),"")</f>
        <v/>
      </c>
      <c r="Q2" s="3" t="str">
        <f>IFERROR(ActiveLabor_Table[[#This Row],[TotalLabor]]/ActiveLabor_Table[[#This Row],[ProdQty]],"")</f>
        <v/>
      </c>
      <c r="R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" s="6" t="str">
        <f>IF(AND(ActiveLabor_Table[[#This Row],[JobNum]]&lt;&gt;""),($U$1-ActiveLabor_Table[[#This Row],[ClockinTime]]),"")</f>
        <v/>
      </c>
      <c r="T2" s="3"/>
      <c r="U2" s="4"/>
    </row>
    <row r="3" spans="1:21" x14ac:dyDescent="0.25">
      <c r="A3" s="1" t="s">
        <v>3</v>
      </c>
      <c r="C3" s="1"/>
      <c r="H3" s="2"/>
      <c r="I3" s="1"/>
      <c r="N3" s="5"/>
      <c r="O3" s="5"/>
      <c r="P3" s="1" t="str">
        <f>IF(ActiveLabor_Table[[#This Row],[JobNum]]&lt;&gt;"",ROUND(($U$1-ActiveLabor_Table[[#This Row],[ClockinTime]])*24*ActiveLabor_Table[[#This Row],[ProdStandard]],0),"")</f>
        <v/>
      </c>
      <c r="Q3" s="3" t="str">
        <f>IFERROR(ActiveLabor_Table[[#This Row],[TotalLabor]]/ActiveLabor_Table[[#This Row],[ProdQty]],"")</f>
        <v/>
      </c>
      <c r="R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" s="6" t="str">
        <f>IF(AND(ActiveLabor_Table[[#This Row],[JobNum]]&lt;&gt;""),($U$1-ActiveLabor_Table[[#This Row],[ClockinTime]]),"")</f>
        <v/>
      </c>
      <c r="T3" s="3"/>
      <c r="U3" s="4"/>
    </row>
    <row r="4" spans="1:21" x14ac:dyDescent="0.25">
      <c r="A4" s="1" t="s">
        <v>4</v>
      </c>
      <c r="C4" s="1"/>
      <c r="H4" s="2"/>
      <c r="I4" s="1"/>
      <c r="N4" s="5"/>
      <c r="O4" s="5"/>
      <c r="P4" s="1" t="str">
        <f>IF(ActiveLabor_Table[[#This Row],[JobNum]]&lt;&gt;"",ROUND(($U$1-ActiveLabor_Table[[#This Row],[ClockinTime]])*24*ActiveLabor_Table[[#This Row],[ProdStandard]],0),"")</f>
        <v/>
      </c>
      <c r="Q4" s="3" t="str">
        <f>IFERROR(ActiveLabor_Table[[#This Row],[TotalLabor]]/ActiveLabor_Table[[#This Row],[ProdQty]],"")</f>
        <v/>
      </c>
      <c r="R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" s="6" t="str">
        <f>IF(AND(ActiveLabor_Table[[#This Row],[JobNum]]&lt;&gt;""),($U$1-ActiveLabor_Table[[#This Row],[ClockinTime]]),"")</f>
        <v/>
      </c>
      <c r="T4" s="3"/>
      <c r="U4" s="4"/>
    </row>
    <row r="5" spans="1:21" x14ac:dyDescent="0.25">
      <c r="A5" s="1" t="s">
        <v>5</v>
      </c>
      <c r="C5" s="1"/>
      <c r="H5" s="2"/>
      <c r="I5" s="1"/>
      <c r="N5" s="5"/>
      <c r="O5" s="5"/>
      <c r="P5" s="1" t="str">
        <f>IF(ActiveLabor_Table[[#This Row],[JobNum]]&lt;&gt;"",ROUND(($U$1-ActiveLabor_Table[[#This Row],[ClockinTime]])*24*ActiveLabor_Table[[#This Row],[ProdStandard]],0),"")</f>
        <v/>
      </c>
      <c r="Q5" s="3" t="str">
        <f>IFERROR(ActiveLabor_Table[[#This Row],[TotalLabor]]/ActiveLabor_Table[[#This Row],[ProdQty]],"")</f>
        <v/>
      </c>
      <c r="R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" s="6" t="str">
        <f>IF(AND(ActiveLabor_Table[[#This Row],[JobNum]]&lt;&gt;""),($U$1-ActiveLabor_Table[[#This Row],[ClockinTime]]),"")</f>
        <v/>
      </c>
      <c r="T5" s="3"/>
      <c r="U5" s="4"/>
    </row>
    <row r="6" spans="1:21" x14ac:dyDescent="0.25">
      <c r="A6" s="1" t="s">
        <v>6</v>
      </c>
      <c r="C6" s="1"/>
      <c r="H6" s="2"/>
      <c r="I6" s="1"/>
      <c r="N6" s="5"/>
      <c r="O6" s="5"/>
      <c r="P6" s="1" t="str">
        <f>IF(ActiveLabor_Table[[#This Row],[JobNum]]&lt;&gt;"",ROUND(($U$1-ActiveLabor_Table[[#This Row],[ClockinTime]])*24*ActiveLabor_Table[[#This Row],[ProdStandard]],0),"")</f>
        <v/>
      </c>
      <c r="Q6" s="3" t="str">
        <f>IFERROR(ActiveLabor_Table[[#This Row],[TotalLabor]]/ActiveLabor_Table[[#This Row],[ProdQty]],"")</f>
        <v/>
      </c>
      <c r="R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" s="6" t="str">
        <f>IF(AND(ActiveLabor_Table[[#This Row],[JobNum]]&lt;&gt;""),($U$1-ActiveLabor_Table[[#This Row],[ClockinTime]]),"")</f>
        <v/>
      </c>
      <c r="T6" s="3"/>
    </row>
    <row r="7" spans="1:21" x14ac:dyDescent="0.25">
      <c r="A7" s="1" t="s">
        <v>7</v>
      </c>
      <c r="C7" s="1"/>
      <c r="H7" s="2"/>
      <c r="I7" s="1"/>
      <c r="N7" s="5"/>
      <c r="O7" s="5"/>
      <c r="P7" s="1" t="str">
        <f>IF(ActiveLabor_Table[[#This Row],[JobNum]]&lt;&gt;"",ROUND(($U$1-ActiveLabor_Table[[#This Row],[ClockinTime]])*24*ActiveLabor_Table[[#This Row],[ProdStandard]],0),"")</f>
        <v/>
      </c>
      <c r="Q7" s="3" t="str">
        <f>IFERROR(ActiveLabor_Table[[#This Row],[TotalLabor]]/ActiveLabor_Table[[#This Row],[ProdQty]],"")</f>
        <v/>
      </c>
      <c r="R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7" s="6" t="str">
        <f>IF(AND(ActiveLabor_Table[[#This Row],[JobNum]]&lt;&gt;""),($U$1-ActiveLabor_Table[[#This Row],[ClockinTime]]),"")</f>
        <v/>
      </c>
      <c r="T7" s="3"/>
    </row>
    <row r="8" spans="1:21" x14ac:dyDescent="0.25">
      <c r="A8" s="1" t="s">
        <v>8</v>
      </c>
      <c r="C8" s="1"/>
      <c r="H8" s="2"/>
      <c r="I8" s="1"/>
      <c r="N8" s="5"/>
      <c r="O8" s="5"/>
      <c r="P8" s="1" t="str">
        <f>IF(ActiveLabor_Table[[#This Row],[JobNum]]&lt;&gt;"",ROUND(($U$1-ActiveLabor_Table[[#This Row],[ClockinTime]])*24*ActiveLabor_Table[[#This Row],[ProdStandard]],0),"")</f>
        <v/>
      </c>
      <c r="Q8" s="3" t="str">
        <f>IFERROR(ActiveLabor_Table[[#This Row],[TotalLabor]]/ActiveLabor_Table[[#This Row],[ProdQty]],"")</f>
        <v/>
      </c>
      <c r="R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8" s="6" t="str">
        <f>IF(AND(ActiveLabor_Table[[#This Row],[JobNum]]&lt;&gt;""),($U$1-ActiveLabor_Table[[#This Row],[ClockinTime]]),"")</f>
        <v/>
      </c>
      <c r="T8" s="3"/>
    </row>
    <row r="9" spans="1:21" x14ac:dyDescent="0.25">
      <c r="A9" s="1" t="s">
        <v>9</v>
      </c>
      <c r="C9" s="1"/>
      <c r="H9" s="2"/>
      <c r="I9" s="1"/>
      <c r="N9" s="5"/>
      <c r="O9" s="5"/>
      <c r="P9" s="1" t="str">
        <f>IF(ActiveLabor_Table[[#This Row],[JobNum]]&lt;&gt;"",ROUND(($U$1-ActiveLabor_Table[[#This Row],[ClockinTime]])*24*ActiveLabor_Table[[#This Row],[ProdStandard]],0),"")</f>
        <v/>
      </c>
      <c r="Q9" s="3" t="str">
        <f>IFERROR(ActiveLabor_Table[[#This Row],[TotalLabor]]/ActiveLabor_Table[[#This Row],[ProdQty]],"")</f>
        <v/>
      </c>
      <c r="R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9" s="6" t="str">
        <f>IF(AND(ActiveLabor_Table[[#This Row],[JobNum]]&lt;&gt;""),($U$1-ActiveLabor_Table[[#This Row],[ClockinTime]]),"")</f>
        <v/>
      </c>
      <c r="T9" s="3"/>
    </row>
    <row r="10" spans="1:21" x14ac:dyDescent="0.25">
      <c r="A10" s="1" t="s">
        <v>10</v>
      </c>
      <c r="C10" s="1"/>
      <c r="H10" s="2"/>
      <c r="I10" s="1"/>
      <c r="N10" s="5"/>
      <c r="O10" s="5"/>
      <c r="P10" s="1" t="str">
        <f>IF(ActiveLabor_Table[[#This Row],[JobNum]]&lt;&gt;"",ROUND(($U$1-ActiveLabor_Table[[#This Row],[ClockinTime]])*24*ActiveLabor_Table[[#This Row],[ProdStandard]],0),"")</f>
        <v/>
      </c>
      <c r="Q10" s="3" t="str">
        <f>IFERROR(ActiveLabor_Table[[#This Row],[TotalLabor]]/ActiveLabor_Table[[#This Row],[ProdQty]],"")</f>
        <v/>
      </c>
      <c r="R1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0" s="6" t="str">
        <f>IF(AND(ActiveLabor_Table[[#This Row],[JobNum]]&lt;&gt;""),($U$1-ActiveLabor_Table[[#This Row],[ClockinTime]]),"")</f>
        <v/>
      </c>
      <c r="T10" s="3"/>
    </row>
    <row r="11" spans="1:21" x14ac:dyDescent="0.25">
      <c r="A11" s="1" t="s">
        <v>11</v>
      </c>
      <c r="C11" s="1"/>
      <c r="H11" s="2"/>
      <c r="I11" s="1"/>
      <c r="N11" s="5"/>
      <c r="O11" s="5"/>
      <c r="P11" s="1" t="str">
        <f>IF(ActiveLabor_Table[[#This Row],[JobNum]]&lt;&gt;"",ROUND(($U$1-ActiveLabor_Table[[#This Row],[ClockinTime]])*24*ActiveLabor_Table[[#This Row],[ProdStandard]],0),"")</f>
        <v/>
      </c>
      <c r="Q11" s="3" t="str">
        <f>IFERROR(ActiveLabor_Table[[#This Row],[TotalLabor]]/ActiveLabor_Table[[#This Row],[ProdQty]],"")</f>
        <v/>
      </c>
      <c r="R1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1" s="6" t="str">
        <f>IF(AND(ActiveLabor_Table[[#This Row],[JobNum]]&lt;&gt;""),($U$1-ActiveLabor_Table[[#This Row],[ClockinTime]]),"")</f>
        <v/>
      </c>
      <c r="T11" s="3"/>
    </row>
    <row r="12" spans="1:21" x14ac:dyDescent="0.25">
      <c r="A12" s="1" t="s">
        <v>12</v>
      </c>
      <c r="C12" s="1"/>
      <c r="H12" s="2"/>
      <c r="I12" s="1"/>
      <c r="N12" s="5"/>
      <c r="O12" s="5"/>
      <c r="P12" s="1" t="str">
        <f>IF(ActiveLabor_Table[[#This Row],[JobNum]]&lt;&gt;"",ROUND(($U$1-ActiveLabor_Table[[#This Row],[ClockinTime]])*24*ActiveLabor_Table[[#This Row],[ProdStandard]],0),"")</f>
        <v/>
      </c>
      <c r="Q12" s="3" t="str">
        <f>IFERROR(ActiveLabor_Table[[#This Row],[TotalLabor]]/ActiveLabor_Table[[#This Row],[ProdQty]],"")</f>
        <v/>
      </c>
      <c r="R1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2" s="6" t="str">
        <f>IF(AND(ActiveLabor_Table[[#This Row],[JobNum]]&lt;&gt;""),($U$1-ActiveLabor_Table[[#This Row],[ClockinTime]]),"")</f>
        <v/>
      </c>
      <c r="T12" s="3"/>
    </row>
    <row r="13" spans="1:21" x14ac:dyDescent="0.25">
      <c r="A13" s="1" t="s">
        <v>13</v>
      </c>
      <c r="C13" s="1"/>
      <c r="H13" s="2"/>
      <c r="I13" s="1"/>
      <c r="N13" s="5"/>
      <c r="O13" s="5"/>
      <c r="P13" s="1" t="str">
        <f>IF(ActiveLabor_Table[[#This Row],[JobNum]]&lt;&gt;"",ROUND(($U$1-ActiveLabor_Table[[#This Row],[ClockinTime]])*24*ActiveLabor_Table[[#This Row],[ProdStandard]],0),"")</f>
        <v/>
      </c>
      <c r="Q13" s="3" t="str">
        <f>IFERROR(ActiveLabor_Table[[#This Row],[TotalLabor]]/ActiveLabor_Table[[#This Row],[ProdQty]],"")</f>
        <v/>
      </c>
      <c r="R1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3" s="6" t="str">
        <f>IF(AND(ActiveLabor_Table[[#This Row],[JobNum]]&lt;&gt;""),($U$1-ActiveLabor_Table[[#This Row],[ClockinTime]]),"")</f>
        <v/>
      </c>
      <c r="T13" s="3"/>
    </row>
    <row r="14" spans="1:21" x14ac:dyDescent="0.25">
      <c r="A14" s="1" t="s">
        <v>14</v>
      </c>
      <c r="C14" s="1"/>
      <c r="H14" s="2"/>
      <c r="I14" s="1"/>
      <c r="N14" s="5"/>
      <c r="O14" s="5"/>
      <c r="P14" s="1" t="str">
        <f>IF(ActiveLabor_Table[[#This Row],[JobNum]]&lt;&gt;"",ROUND(($U$1-ActiveLabor_Table[[#This Row],[ClockinTime]])*24*ActiveLabor_Table[[#This Row],[ProdStandard]],0),"")</f>
        <v/>
      </c>
      <c r="Q14" s="3" t="str">
        <f>IFERROR(ActiveLabor_Table[[#This Row],[TotalLabor]]/ActiveLabor_Table[[#This Row],[ProdQty]],"")</f>
        <v/>
      </c>
      <c r="R1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4" s="6" t="str">
        <f>IF(AND(ActiveLabor_Table[[#This Row],[JobNum]]&lt;&gt;""),($U$1-ActiveLabor_Table[[#This Row],[ClockinTime]]),"")</f>
        <v/>
      </c>
      <c r="T14" s="3"/>
    </row>
    <row r="15" spans="1:21" x14ac:dyDescent="0.25">
      <c r="A15" s="1" t="s">
        <v>15</v>
      </c>
      <c r="B15" s="1" t="s">
        <v>92</v>
      </c>
      <c r="C15" s="1" t="s">
        <v>100</v>
      </c>
      <c r="D15" s="1" t="s">
        <v>101</v>
      </c>
      <c r="E15" s="1">
        <v>60</v>
      </c>
      <c r="F15" s="1" t="s">
        <v>102</v>
      </c>
      <c r="G15" s="1" t="s">
        <v>90</v>
      </c>
      <c r="H15" s="2">
        <v>0.62375000000000003</v>
      </c>
      <c r="I15" s="1" t="s">
        <v>18</v>
      </c>
      <c r="J15" s="1">
        <v>2</v>
      </c>
      <c r="K15" s="1">
        <v>0</v>
      </c>
      <c r="L15" s="1">
        <v>120</v>
      </c>
      <c r="M15" s="1" t="s">
        <v>91</v>
      </c>
      <c r="N15" s="5">
        <v>0</v>
      </c>
      <c r="O15" s="5">
        <v>8.3333000000000004E-2</v>
      </c>
      <c r="P15" s="1">
        <f ca="1">IF(ActiveLabor_Table[[#This Row],[JobNum]]&lt;&gt;"",ROUND(($U$1-ActiveLabor_Table[[#This Row],[ClockinTime]])*24*ActiveLabor_Table[[#This Row],[ProdStandard]],0),"")</f>
        <v>2</v>
      </c>
      <c r="Q15" s="3">
        <f>IFERROR(ActiveLabor_Table[[#This Row],[TotalLabor]]/ActiveLabor_Table[[#This Row],[ProdQty]],"")</f>
        <v>0</v>
      </c>
      <c r="R15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1.6666666666666666E-2</v>
      </c>
      <c r="S15" s="6">
        <f ca="1">IF(AND(ActiveLabor_Table[[#This Row],[JobNum]]&lt;&gt;""),($U$1-ActiveLabor_Table[[#This Row],[ClockinTime]]),"")</f>
        <v>5.1503356479515761E-2</v>
      </c>
      <c r="T15" s="3"/>
    </row>
    <row r="16" spans="1:21" x14ac:dyDescent="0.25">
      <c r="A16" s="1" t="s">
        <v>16</v>
      </c>
      <c r="C16" s="1"/>
      <c r="H16" s="2"/>
      <c r="I16" s="1"/>
      <c r="N16" s="5"/>
      <c r="O16" s="5"/>
      <c r="P16" s="1" t="str">
        <f>IF(ActiveLabor_Table[[#This Row],[JobNum]]&lt;&gt;"",ROUND(($U$1-ActiveLabor_Table[[#This Row],[ClockinTime]])*24*ActiveLabor_Table[[#This Row],[ProdStandard]],0),"")</f>
        <v/>
      </c>
      <c r="Q16" s="3" t="str">
        <f>IFERROR(ActiveLabor_Table[[#This Row],[TotalLabor]]/ActiveLabor_Table[[#This Row],[ProdQty]],"")</f>
        <v/>
      </c>
      <c r="R1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6" s="6" t="str">
        <f>IF(AND(ActiveLabor_Table[[#This Row],[JobNum]]&lt;&gt;""),($U$1-ActiveLabor_Table[[#This Row],[ClockinTime]]),"")</f>
        <v/>
      </c>
      <c r="T16" s="3"/>
    </row>
    <row r="17" spans="1:21" x14ac:dyDescent="0.25">
      <c r="A17" s="1" t="s">
        <v>17</v>
      </c>
      <c r="B17" s="1" t="s">
        <v>93</v>
      </c>
      <c r="C17" s="1" t="s">
        <v>94</v>
      </c>
      <c r="D17" s="1" t="s">
        <v>95</v>
      </c>
      <c r="E17" s="1">
        <v>70</v>
      </c>
      <c r="F17" s="1" t="s">
        <v>96</v>
      </c>
      <c r="G17" s="1" t="s">
        <v>90</v>
      </c>
      <c r="H17" s="2">
        <v>0.66458300000000003</v>
      </c>
      <c r="I17" s="1" t="s">
        <v>18</v>
      </c>
      <c r="J17" s="1">
        <v>8</v>
      </c>
      <c r="K17" s="1">
        <v>104</v>
      </c>
      <c r="L17" s="1">
        <v>162</v>
      </c>
      <c r="M17" s="1" t="s">
        <v>89</v>
      </c>
      <c r="N17" s="5">
        <v>0.16666600000000001</v>
      </c>
      <c r="O17" s="5">
        <v>0.89083299999999999</v>
      </c>
      <c r="P17" s="1">
        <f ca="1">IF(ActiveLabor_Table[[#This Row],[JobNum]]&lt;&gt;"",ROUND(($U$1-ActiveLabor_Table[[#This Row],[ClockinTime]])*24*ActiveLabor_Table[[#This Row],[ProdStandard]],0),"")</f>
        <v>2</v>
      </c>
      <c r="Q17" s="3">
        <f>IFERROR(ActiveLabor_Table[[#This Row],[TotalLabor]]/ActiveLabor_Table[[#This Row],[ProdQty]],"")</f>
        <v>0.64197530864197527</v>
      </c>
      <c r="R17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1.2345679012345678E-2</v>
      </c>
      <c r="S17" s="6">
        <f ca="1">IF(AND(ActiveLabor_Table[[#This Row],[JobNum]]&lt;&gt;""),($U$1-ActiveLabor_Table[[#This Row],[ClockinTime]]),"")</f>
        <v>1.0670356479515752E-2</v>
      </c>
      <c r="T17" s="3"/>
      <c r="U17" s="2"/>
    </row>
    <row r="18" spans="1:21" x14ac:dyDescent="0.25">
      <c r="A18" s="1" t="s">
        <v>19</v>
      </c>
      <c r="C18" s="1"/>
      <c r="H18" s="2"/>
      <c r="I18" s="1"/>
      <c r="N18" s="5"/>
      <c r="O18" s="5"/>
      <c r="P18" s="1" t="str">
        <f>IF(ActiveLabor_Table[[#This Row],[JobNum]]&lt;&gt;"",ROUND(($U$1-ActiveLabor_Table[[#This Row],[ClockinTime]])*24*ActiveLabor_Table[[#This Row],[ProdStandard]],0),"")</f>
        <v/>
      </c>
      <c r="Q18" s="3" t="str">
        <f>IFERROR(ActiveLabor_Table[[#This Row],[TotalLabor]]/ActiveLabor_Table[[#This Row],[ProdQty]],"")</f>
        <v/>
      </c>
      <c r="R1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8" s="6" t="str">
        <f>IF(AND(ActiveLabor_Table[[#This Row],[JobNum]]&lt;&gt;""),($U$1-ActiveLabor_Table[[#This Row],[ClockinTime]]),"")</f>
        <v/>
      </c>
      <c r="T18" s="3"/>
      <c r="U18" s="2"/>
    </row>
    <row r="19" spans="1:21" x14ac:dyDescent="0.25">
      <c r="A19" s="1" t="s">
        <v>20</v>
      </c>
      <c r="C19" s="1"/>
      <c r="H19" s="2"/>
      <c r="I19" s="1"/>
      <c r="N19" s="5"/>
      <c r="O19" s="5"/>
      <c r="P19" s="1" t="str">
        <f>IF(ActiveLabor_Table[[#This Row],[JobNum]]&lt;&gt;"",ROUND(($U$1-ActiveLabor_Table[[#This Row],[ClockinTime]])*24*ActiveLabor_Table[[#This Row],[ProdStandard]],0),"")</f>
        <v/>
      </c>
      <c r="Q19" s="3" t="str">
        <f>IFERROR(ActiveLabor_Table[[#This Row],[TotalLabor]]/ActiveLabor_Table[[#This Row],[ProdQty]],"")</f>
        <v/>
      </c>
      <c r="R1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9" s="6" t="str">
        <f>IF(AND(ActiveLabor_Table[[#This Row],[JobNum]]&lt;&gt;""),($U$1-ActiveLabor_Table[[#This Row],[ClockinTime]]),"")</f>
        <v/>
      </c>
      <c r="T19" s="3"/>
    </row>
    <row r="20" spans="1:21" x14ac:dyDescent="0.25">
      <c r="A20" s="1" t="s">
        <v>21</v>
      </c>
      <c r="C20" s="1"/>
      <c r="H20" s="2"/>
      <c r="I20" s="1"/>
      <c r="N20" s="5"/>
      <c r="O20" s="5"/>
      <c r="P20" s="1" t="str">
        <f>IF(ActiveLabor_Table[[#This Row],[JobNum]]&lt;&gt;"",ROUND(($U$1-ActiveLabor_Table[[#This Row],[ClockinTime]])*24*ActiveLabor_Table[[#This Row],[ProdStandard]],0),"")</f>
        <v/>
      </c>
      <c r="Q20" s="3" t="str">
        <f>IFERROR(ActiveLabor_Table[[#This Row],[TotalLabor]]/ActiveLabor_Table[[#This Row],[ProdQty]],"")</f>
        <v/>
      </c>
      <c r="R2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0" s="6" t="str">
        <f>IF(AND(ActiveLabor_Table[[#This Row],[JobNum]]&lt;&gt;""),($U$1-ActiveLabor_Table[[#This Row],[ClockinTime]]),"")</f>
        <v/>
      </c>
      <c r="T20" s="3"/>
    </row>
    <row r="21" spans="1:21" x14ac:dyDescent="0.25">
      <c r="A21" s="1" t="s">
        <v>22</v>
      </c>
      <c r="C21" s="1"/>
      <c r="H21" s="2"/>
      <c r="I21" s="1"/>
      <c r="N21" s="5"/>
      <c r="O21" s="5"/>
      <c r="P21" s="1" t="str">
        <f>IF(ActiveLabor_Table[[#This Row],[JobNum]]&lt;&gt;"",ROUND(($U$1-ActiveLabor_Table[[#This Row],[ClockinTime]])*24*ActiveLabor_Table[[#This Row],[ProdStandard]],0),"")</f>
        <v/>
      </c>
      <c r="Q21" s="3" t="str">
        <f>IFERROR(ActiveLabor_Table[[#This Row],[TotalLabor]]/ActiveLabor_Table[[#This Row],[ProdQty]],"")</f>
        <v/>
      </c>
      <c r="R2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1" s="6" t="str">
        <f>IF(AND(ActiveLabor_Table[[#This Row],[JobNum]]&lt;&gt;""),($U$1-ActiveLabor_Table[[#This Row],[ClockinTime]]),"")</f>
        <v/>
      </c>
      <c r="T21" s="3"/>
    </row>
    <row r="22" spans="1:21" x14ac:dyDescent="0.25">
      <c r="A22" s="1" t="s">
        <v>23</v>
      </c>
      <c r="C22" s="1"/>
      <c r="H22" s="2"/>
      <c r="I22" s="1"/>
      <c r="N22" s="5"/>
      <c r="O22" s="5"/>
      <c r="P22" s="1" t="str">
        <f>IF(ActiveLabor_Table[[#This Row],[JobNum]]&lt;&gt;"",ROUND(($U$1-ActiveLabor_Table[[#This Row],[ClockinTime]])*24*ActiveLabor_Table[[#This Row],[ProdStandard]],0),"")</f>
        <v/>
      </c>
      <c r="Q22" s="3" t="str">
        <f>IFERROR(ActiveLabor_Table[[#This Row],[TotalLabor]]/ActiveLabor_Table[[#This Row],[ProdQty]],"")</f>
        <v/>
      </c>
      <c r="R2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2" s="6" t="str">
        <f>IF(AND(ActiveLabor_Table[[#This Row],[JobNum]]&lt;&gt;""),($U$1-ActiveLabor_Table[[#This Row],[ClockinTime]]),"")</f>
        <v/>
      </c>
      <c r="T22" s="3"/>
    </row>
    <row r="23" spans="1:21" x14ac:dyDescent="0.25">
      <c r="A23" s="1" t="s">
        <v>24</v>
      </c>
      <c r="C23" s="1"/>
      <c r="H23" s="2"/>
      <c r="I23" s="1"/>
      <c r="N23" s="5"/>
      <c r="O23" s="5"/>
      <c r="P23" s="1" t="str">
        <f>IF(ActiveLabor_Table[[#This Row],[JobNum]]&lt;&gt;"",ROUND(($U$1-ActiveLabor_Table[[#This Row],[ClockinTime]])*24*ActiveLabor_Table[[#This Row],[ProdStandard]],0),"")</f>
        <v/>
      </c>
      <c r="Q23" s="3" t="str">
        <f>IFERROR(ActiveLabor_Table[[#This Row],[TotalLabor]]/ActiveLabor_Table[[#This Row],[ProdQty]],"")</f>
        <v/>
      </c>
      <c r="R2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3" s="6" t="str">
        <f>IF(AND(ActiveLabor_Table[[#This Row],[JobNum]]&lt;&gt;""),($U$1-ActiveLabor_Table[[#This Row],[ClockinTime]]),"")</f>
        <v/>
      </c>
      <c r="T23" s="3"/>
    </row>
    <row r="24" spans="1:21" x14ac:dyDescent="0.25">
      <c r="A24" s="1" t="s">
        <v>25</v>
      </c>
      <c r="C24" s="1"/>
      <c r="H24" s="2"/>
      <c r="I24" s="1"/>
      <c r="N24" s="5"/>
      <c r="O24" s="5"/>
      <c r="P24" s="1" t="str">
        <f>IF(ActiveLabor_Table[[#This Row],[JobNum]]&lt;&gt;"",ROUND(($U$1-ActiveLabor_Table[[#This Row],[ClockinTime]])*24*ActiveLabor_Table[[#This Row],[ProdStandard]],0),"")</f>
        <v/>
      </c>
      <c r="Q24" s="3" t="str">
        <f>IFERROR(ActiveLabor_Table[[#This Row],[TotalLabor]]/ActiveLabor_Table[[#This Row],[ProdQty]],"")</f>
        <v/>
      </c>
      <c r="R2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4" s="6" t="str">
        <f>IF(AND(ActiveLabor_Table[[#This Row],[JobNum]]&lt;&gt;""),($U$1-ActiveLabor_Table[[#This Row],[ClockinTime]]),"")</f>
        <v/>
      </c>
      <c r="T24" s="3"/>
    </row>
    <row r="25" spans="1:21" x14ac:dyDescent="0.25">
      <c r="A25" s="1" t="s">
        <v>26</v>
      </c>
      <c r="C25" s="1"/>
      <c r="H25" s="2"/>
      <c r="I25" s="1"/>
      <c r="N25" s="5"/>
      <c r="O25" s="5"/>
      <c r="P25" s="1" t="str">
        <f>IF(ActiveLabor_Table[[#This Row],[JobNum]]&lt;&gt;"",ROUND(($U$1-ActiveLabor_Table[[#This Row],[ClockinTime]])*24*ActiveLabor_Table[[#This Row],[ProdStandard]],0),"")</f>
        <v/>
      </c>
      <c r="Q25" s="3" t="str">
        <f>IFERROR(ActiveLabor_Table[[#This Row],[TotalLabor]]/ActiveLabor_Table[[#This Row],[ProdQty]],"")</f>
        <v/>
      </c>
      <c r="R2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5" s="6" t="str">
        <f>IF(AND(ActiveLabor_Table[[#This Row],[JobNum]]&lt;&gt;""),($U$1-ActiveLabor_Table[[#This Row],[ClockinTime]]),"")</f>
        <v/>
      </c>
      <c r="T25" s="3"/>
      <c r="U25" s="2"/>
    </row>
    <row r="26" spans="1:21" x14ac:dyDescent="0.25">
      <c r="A26" s="1" t="s">
        <v>27</v>
      </c>
      <c r="C26" s="1"/>
      <c r="H26" s="2"/>
      <c r="I26" s="1"/>
      <c r="N26" s="5"/>
      <c r="O26" s="5"/>
      <c r="P26" s="1" t="str">
        <f>IF(ActiveLabor_Table[[#This Row],[JobNum]]&lt;&gt;"",ROUND(($U$1-ActiveLabor_Table[[#This Row],[ClockinTime]])*24*ActiveLabor_Table[[#This Row],[ProdStandard]],0),"")</f>
        <v/>
      </c>
      <c r="Q26" s="3" t="str">
        <f>IFERROR(ActiveLabor_Table[[#This Row],[TotalLabor]]/ActiveLabor_Table[[#This Row],[ProdQty]],"")</f>
        <v/>
      </c>
      <c r="R2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6" s="6" t="str">
        <f>IF(AND(ActiveLabor_Table[[#This Row],[JobNum]]&lt;&gt;""),($U$1-ActiveLabor_Table[[#This Row],[ClockinTime]]),"")</f>
        <v/>
      </c>
      <c r="T26" s="3"/>
    </row>
    <row r="27" spans="1:21" x14ac:dyDescent="0.25">
      <c r="A27" s="1" t="s">
        <v>28</v>
      </c>
      <c r="C27" s="1"/>
      <c r="H27" s="2"/>
      <c r="I27" s="1"/>
      <c r="N27" s="5"/>
      <c r="O27" s="5"/>
      <c r="P27" s="1" t="str">
        <f>IF(ActiveLabor_Table[[#This Row],[JobNum]]&lt;&gt;"",ROUND(($U$1-ActiveLabor_Table[[#This Row],[ClockinTime]])*24*ActiveLabor_Table[[#This Row],[ProdStandard]],0),"")</f>
        <v/>
      </c>
      <c r="Q27" s="3" t="str">
        <f>IFERROR(ActiveLabor_Table[[#This Row],[TotalLabor]]/ActiveLabor_Table[[#This Row],[ProdQty]],"")</f>
        <v/>
      </c>
      <c r="R2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7" s="6" t="str">
        <f>IF(AND(ActiveLabor_Table[[#This Row],[JobNum]]&lt;&gt;""),($U$1-ActiveLabor_Table[[#This Row],[ClockinTime]]),"")</f>
        <v/>
      </c>
      <c r="T27" s="3"/>
    </row>
    <row r="28" spans="1:21" x14ac:dyDescent="0.25">
      <c r="A28" s="1" t="s">
        <v>29</v>
      </c>
      <c r="C28" s="1"/>
      <c r="H28" s="2"/>
      <c r="I28" s="1"/>
      <c r="N28" s="5"/>
      <c r="O28" s="5"/>
      <c r="P28" s="1" t="str">
        <f>IF(ActiveLabor_Table[[#This Row],[JobNum]]&lt;&gt;"",ROUND(($U$1-ActiveLabor_Table[[#This Row],[ClockinTime]])*24*ActiveLabor_Table[[#This Row],[ProdStandard]],0),"")</f>
        <v/>
      </c>
      <c r="Q28" s="3" t="str">
        <f>IFERROR(ActiveLabor_Table[[#This Row],[TotalLabor]]/ActiveLabor_Table[[#This Row],[ProdQty]],"")</f>
        <v/>
      </c>
      <c r="R2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8" s="6" t="str">
        <f>IF(AND(ActiveLabor_Table[[#This Row],[JobNum]]&lt;&gt;""),($U$1-ActiveLabor_Table[[#This Row],[ClockinTime]]),"")</f>
        <v/>
      </c>
      <c r="T28" s="3"/>
    </row>
    <row r="29" spans="1:21" x14ac:dyDescent="0.25">
      <c r="A29" s="1" t="s">
        <v>30</v>
      </c>
      <c r="C29" s="1"/>
      <c r="H29" s="2"/>
      <c r="I29" s="1"/>
      <c r="N29" s="5"/>
      <c r="O29" s="5"/>
      <c r="P29" s="1" t="str">
        <f>IF(ActiveLabor_Table[[#This Row],[JobNum]]&lt;&gt;"",ROUND(($U$1-ActiveLabor_Table[[#This Row],[ClockinTime]])*24*ActiveLabor_Table[[#This Row],[ProdStandard]],0),"")</f>
        <v/>
      </c>
      <c r="Q29" s="3" t="str">
        <f>IFERROR(ActiveLabor_Table[[#This Row],[TotalLabor]]/ActiveLabor_Table[[#This Row],[ProdQty]],"")</f>
        <v/>
      </c>
      <c r="R2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9" s="6" t="str">
        <f>IF(AND(ActiveLabor_Table[[#This Row],[JobNum]]&lt;&gt;""),($U$1-ActiveLabor_Table[[#This Row],[ClockinTime]]),"")</f>
        <v/>
      </c>
      <c r="T29" s="3"/>
    </row>
    <row r="30" spans="1:21" x14ac:dyDescent="0.25">
      <c r="A30" s="1" t="s">
        <v>31</v>
      </c>
      <c r="C30" s="1"/>
      <c r="H30" s="2"/>
      <c r="I30" s="1"/>
      <c r="N30" s="5"/>
      <c r="O30" s="5"/>
      <c r="P30" s="1" t="str">
        <f>IF(ActiveLabor_Table[[#This Row],[JobNum]]&lt;&gt;"",ROUND(($U$1-ActiveLabor_Table[[#This Row],[ClockinTime]])*24*ActiveLabor_Table[[#This Row],[ProdStandard]],0),"")</f>
        <v/>
      </c>
      <c r="Q30" s="3" t="str">
        <f>IFERROR(ActiveLabor_Table[[#This Row],[TotalLabor]]/ActiveLabor_Table[[#This Row],[ProdQty]],"")</f>
        <v/>
      </c>
      <c r="R3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0" s="6" t="str">
        <f>IF(AND(ActiveLabor_Table[[#This Row],[JobNum]]&lt;&gt;""),($U$1-ActiveLabor_Table[[#This Row],[ClockinTime]]),"")</f>
        <v/>
      </c>
      <c r="T30" s="3"/>
    </row>
    <row r="31" spans="1:21" x14ac:dyDescent="0.25">
      <c r="A31" s="1" t="s">
        <v>32</v>
      </c>
      <c r="C31" s="1"/>
      <c r="H31" s="2"/>
      <c r="I31" s="1"/>
      <c r="N31" s="5"/>
      <c r="O31" s="5"/>
      <c r="P31" s="1" t="str">
        <f>IF(ActiveLabor_Table[[#This Row],[JobNum]]&lt;&gt;"",ROUND(($U$1-ActiveLabor_Table[[#This Row],[ClockinTime]])*24*ActiveLabor_Table[[#This Row],[ProdStandard]],0),"")</f>
        <v/>
      </c>
      <c r="Q31" s="3" t="str">
        <f>IFERROR(ActiveLabor_Table[[#This Row],[TotalLabor]]/ActiveLabor_Table[[#This Row],[ProdQty]],"")</f>
        <v/>
      </c>
      <c r="R3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1" s="6" t="str">
        <f>IF(AND(ActiveLabor_Table[[#This Row],[JobNum]]&lt;&gt;""),($U$1-ActiveLabor_Table[[#This Row],[ClockinTime]]),"")</f>
        <v/>
      </c>
      <c r="T31" s="3"/>
    </row>
    <row r="32" spans="1:21" x14ac:dyDescent="0.25">
      <c r="A32" s="1" t="s">
        <v>33</v>
      </c>
      <c r="C32" s="1"/>
      <c r="H32" s="2"/>
      <c r="I32" s="1"/>
      <c r="N32" s="5"/>
      <c r="O32" s="5"/>
      <c r="P32" s="1" t="str">
        <f>IF(ActiveLabor_Table[[#This Row],[JobNum]]&lt;&gt;"",ROUND(($U$1-ActiveLabor_Table[[#This Row],[ClockinTime]])*24*ActiveLabor_Table[[#This Row],[ProdStandard]],0),"")</f>
        <v/>
      </c>
      <c r="Q32" s="3" t="str">
        <f>IFERROR(ActiveLabor_Table[[#This Row],[TotalLabor]]/ActiveLabor_Table[[#This Row],[ProdQty]],"")</f>
        <v/>
      </c>
      <c r="R3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2" s="6" t="str">
        <f>IF(AND(ActiveLabor_Table[[#This Row],[JobNum]]&lt;&gt;""),($U$1-ActiveLabor_Table[[#This Row],[ClockinTime]]),"")</f>
        <v/>
      </c>
      <c r="T32" s="3"/>
    </row>
    <row r="33" spans="1:20" x14ac:dyDescent="0.25">
      <c r="A33" s="1" t="s">
        <v>34</v>
      </c>
      <c r="C33" s="1"/>
      <c r="H33" s="2"/>
      <c r="I33" s="1"/>
      <c r="N33" s="5"/>
      <c r="O33" s="5"/>
      <c r="P33" s="1" t="str">
        <f>IF(ActiveLabor_Table[[#This Row],[JobNum]]&lt;&gt;"",ROUND(($U$1-ActiveLabor_Table[[#This Row],[ClockinTime]])*24*ActiveLabor_Table[[#This Row],[ProdStandard]],0),"")</f>
        <v/>
      </c>
      <c r="Q33" s="3" t="str">
        <f>IFERROR(ActiveLabor_Table[[#This Row],[TotalLabor]]/ActiveLabor_Table[[#This Row],[ProdQty]],"")</f>
        <v/>
      </c>
      <c r="R3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3" s="6" t="str">
        <f>IF(AND(ActiveLabor_Table[[#This Row],[JobNum]]&lt;&gt;""),($U$1-ActiveLabor_Table[[#This Row],[ClockinTime]]),"")</f>
        <v/>
      </c>
      <c r="T33" s="3"/>
    </row>
    <row r="34" spans="1:20" x14ac:dyDescent="0.25">
      <c r="A34" s="1" t="s">
        <v>35</v>
      </c>
      <c r="C34" s="1"/>
      <c r="H34" s="2"/>
      <c r="I34" s="1"/>
      <c r="N34" s="5"/>
      <c r="O34" s="5"/>
      <c r="P34" s="1" t="str">
        <f>IF(ActiveLabor_Table[[#This Row],[JobNum]]&lt;&gt;"",ROUND(($U$1-ActiveLabor_Table[[#This Row],[ClockinTime]])*24*ActiveLabor_Table[[#This Row],[ProdStandard]],0),"")</f>
        <v/>
      </c>
      <c r="Q34" s="3" t="str">
        <f>IFERROR(ActiveLabor_Table[[#This Row],[TotalLabor]]/ActiveLabor_Table[[#This Row],[ProdQty]],"")</f>
        <v/>
      </c>
      <c r="R3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4" s="6" t="str">
        <f>IF(AND(ActiveLabor_Table[[#This Row],[JobNum]]&lt;&gt;""),($U$1-ActiveLabor_Table[[#This Row],[ClockinTime]]),"")</f>
        <v/>
      </c>
      <c r="T34" s="3"/>
    </row>
    <row r="35" spans="1:20" x14ac:dyDescent="0.25">
      <c r="A35" s="1" t="s">
        <v>36</v>
      </c>
      <c r="C35" s="1"/>
      <c r="H35" s="2"/>
      <c r="I35" s="1"/>
      <c r="N35" s="5"/>
      <c r="O35" s="5"/>
      <c r="P35" s="1" t="str">
        <f>IF(ActiveLabor_Table[[#This Row],[JobNum]]&lt;&gt;"",ROUND(($U$1-ActiveLabor_Table[[#This Row],[ClockinTime]])*24*ActiveLabor_Table[[#This Row],[ProdStandard]],0),"")</f>
        <v/>
      </c>
      <c r="Q35" s="3" t="str">
        <f>IFERROR(ActiveLabor_Table[[#This Row],[TotalLabor]]/ActiveLabor_Table[[#This Row],[ProdQty]],"")</f>
        <v/>
      </c>
      <c r="R3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5" s="6" t="str">
        <f>IF(AND(ActiveLabor_Table[[#This Row],[JobNum]]&lt;&gt;""),($U$1-ActiveLabor_Table[[#This Row],[ClockinTime]]),"")</f>
        <v/>
      </c>
      <c r="T35" s="3"/>
    </row>
    <row r="36" spans="1:20" x14ac:dyDescent="0.25">
      <c r="A36" s="1" t="s">
        <v>37</v>
      </c>
      <c r="C36" s="1"/>
      <c r="H36" s="2"/>
      <c r="I36" s="1"/>
      <c r="N36" s="5"/>
      <c r="O36" s="5"/>
      <c r="P36" s="1" t="str">
        <f>IF(ActiveLabor_Table[[#This Row],[JobNum]]&lt;&gt;"",ROUND(($U$1-ActiveLabor_Table[[#This Row],[ClockinTime]])*24*ActiveLabor_Table[[#This Row],[ProdStandard]],0),"")</f>
        <v/>
      </c>
      <c r="Q36" s="3" t="str">
        <f>IFERROR(ActiveLabor_Table[[#This Row],[TotalLabor]]/ActiveLabor_Table[[#This Row],[ProdQty]],"")</f>
        <v/>
      </c>
      <c r="R3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6" s="6" t="str">
        <f>IF(AND(ActiveLabor_Table[[#This Row],[JobNum]]&lt;&gt;""),($U$1-ActiveLabor_Table[[#This Row],[ClockinTime]]),"")</f>
        <v/>
      </c>
      <c r="T36" s="3"/>
    </row>
    <row r="37" spans="1:20" x14ac:dyDescent="0.25">
      <c r="A37" s="1" t="s">
        <v>38</v>
      </c>
      <c r="C37" s="1"/>
      <c r="H37" s="2"/>
      <c r="I37" s="1"/>
      <c r="N37" s="5"/>
      <c r="O37" s="5"/>
      <c r="P37" s="1" t="str">
        <f>IF(ActiveLabor_Table[[#This Row],[JobNum]]&lt;&gt;"",ROUND(($U$1-ActiveLabor_Table[[#This Row],[ClockinTime]])*24*ActiveLabor_Table[[#This Row],[ProdStandard]],0),"")</f>
        <v/>
      </c>
      <c r="Q37" s="3" t="str">
        <f>IFERROR(ActiveLabor_Table[[#This Row],[TotalLabor]]/ActiveLabor_Table[[#This Row],[ProdQty]],"")</f>
        <v/>
      </c>
      <c r="R3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7" s="6" t="str">
        <f>IF(AND(ActiveLabor_Table[[#This Row],[JobNum]]&lt;&gt;""),($U$1-ActiveLabor_Table[[#This Row],[ClockinTime]]),"")</f>
        <v/>
      </c>
      <c r="T37" s="3"/>
    </row>
    <row r="38" spans="1:20" x14ac:dyDescent="0.25">
      <c r="A38" s="1" t="s">
        <v>39</v>
      </c>
      <c r="C38" s="1"/>
      <c r="H38" s="2"/>
      <c r="I38" s="1"/>
      <c r="N38" s="5"/>
      <c r="O38" s="5"/>
      <c r="P38" s="1" t="str">
        <f>IF(ActiveLabor_Table[[#This Row],[JobNum]]&lt;&gt;"",ROUND(($U$1-ActiveLabor_Table[[#This Row],[ClockinTime]])*24*ActiveLabor_Table[[#This Row],[ProdStandard]],0),"")</f>
        <v/>
      </c>
      <c r="Q38" s="3" t="str">
        <f>IFERROR(ActiveLabor_Table[[#This Row],[TotalLabor]]/ActiveLabor_Table[[#This Row],[ProdQty]],"")</f>
        <v/>
      </c>
      <c r="R3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8" s="6" t="str">
        <f>IF(AND(ActiveLabor_Table[[#This Row],[JobNum]]&lt;&gt;""),($U$1-ActiveLabor_Table[[#This Row],[ClockinTime]]),"")</f>
        <v/>
      </c>
      <c r="T38" s="3"/>
    </row>
    <row r="39" spans="1:20" x14ac:dyDescent="0.25">
      <c r="A39" s="1" t="s">
        <v>40</v>
      </c>
      <c r="C39" s="1"/>
      <c r="H39" s="2"/>
      <c r="I39" s="1"/>
      <c r="N39" s="5"/>
      <c r="O39" s="5"/>
      <c r="P39" s="1" t="str">
        <f>IF(ActiveLabor_Table[[#This Row],[JobNum]]&lt;&gt;"",ROUND(($U$1-ActiveLabor_Table[[#This Row],[ClockinTime]])*24*ActiveLabor_Table[[#This Row],[ProdStandard]],0),"")</f>
        <v/>
      </c>
      <c r="Q39" s="3" t="str">
        <f>IFERROR(ActiveLabor_Table[[#This Row],[TotalLabor]]/ActiveLabor_Table[[#This Row],[ProdQty]],"")</f>
        <v/>
      </c>
      <c r="R3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9" s="6" t="str">
        <f>IF(AND(ActiveLabor_Table[[#This Row],[JobNum]]&lt;&gt;""),($U$1-ActiveLabor_Table[[#This Row],[ClockinTime]]),"")</f>
        <v/>
      </c>
      <c r="T39" s="3"/>
    </row>
    <row r="40" spans="1:20" x14ac:dyDescent="0.25">
      <c r="A40" s="1" t="s">
        <v>41</v>
      </c>
      <c r="C40" s="1"/>
      <c r="H40" s="2"/>
      <c r="I40" s="1"/>
      <c r="N40" s="5"/>
      <c r="O40" s="5"/>
      <c r="P40" s="1" t="str">
        <f>IF(ActiveLabor_Table[[#This Row],[JobNum]]&lt;&gt;"",ROUND(($U$1-ActiveLabor_Table[[#This Row],[ClockinTime]])*24*ActiveLabor_Table[[#This Row],[ProdStandard]],0),"")</f>
        <v/>
      </c>
      <c r="Q40" s="3" t="str">
        <f>IFERROR(ActiveLabor_Table[[#This Row],[TotalLabor]]/ActiveLabor_Table[[#This Row],[ProdQty]],"")</f>
        <v/>
      </c>
      <c r="R4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0" s="6" t="str">
        <f>IF(AND(ActiveLabor_Table[[#This Row],[JobNum]]&lt;&gt;""),($U$1-ActiveLabor_Table[[#This Row],[ClockinTime]]),"")</f>
        <v/>
      </c>
      <c r="T40" s="3"/>
    </row>
    <row r="41" spans="1:20" x14ac:dyDescent="0.25">
      <c r="A41" s="1" t="s">
        <v>42</v>
      </c>
      <c r="C41" s="1"/>
      <c r="H41" s="2"/>
      <c r="I41" s="1"/>
      <c r="N41" s="5"/>
      <c r="O41" s="5"/>
      <c r="P41" s="1" t="str">
        <f>IF(ActiveLabor_Table[[#This Row],[JobNum]]&lt;&gt;"",ROUND(($U$1-ActiveLabor_Table[[#This Row],[ClockinTime]])*24*ActiveLabor_Table[[#This Row],[ProdStandard]],0),"")</f>
        <v/>
      </c>
      <c r="Q41" s="3" t="str">
        <f>IFERROR(ActiveLabor_Table[[#This Row],[TotalLabor]]/ActiveLabor_Table[[#This Row],[ProdQty]],"")</f>
        <v/>
      </c>
      <c r="R4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1" s="6" t="str">
        <f>IF(AND(ActiveLabor_Table[[#This Row],[JobNum]]&lt;&gt;""),($U$1-ActiveLabor_Table[[#This Row],[ClockinTime]]),"")</f>
        <v/>
      </c>
      <c r="T41" s="3"/>
    </row>
    <row r="42" spans="1:20" x14ac:dyDescent="0.25">
      <c r="A42" s="1" t="s">
        <v>43</v>
      </c>
      <c r="C42" s="1"/>
      <c r="H42" s="2"/>
      <c r="I42" s="1"/>
      <c r="N42" s="5"/>
      <c r="O42" s="5"/>
      <c r="P42" s="1" t="str">
        <f>IF(ActiveLabor_Table[[#This Row],[JobNum]]&lt;&gt;"",ROUND(($U$1-ActiveLabor_Table[[#This Row],[ClockinTime]])*24*ActiveLabor_Table[[#This Row],[ProdStandard]],0),"")</f>
        <v/>
      </c>
      <c r="Q42" s="3" t="str">
        <f>IFERROR(ActiveLabor_Table[[#This Row],[TotalLabor]]/ActiveLabor_Table[[#This Row],[ProdQty]],"")</f>
        <v/>
      </c>
      <c r="R4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2" s="6" t="str">
        <f>IF(AND(ActiveLabor_Table[[#This Row],[JobNum]]&lt;&gt;""),($U$1-ActiveLabor_Table[[#This Row],[ClockinTime]]),"")</f>
        <v/>
      </c>
      <c r="T42" s="3"/>
    </row>
    <row r="43" spans="1:20" x14ac:dyDescent="0.25">
      <c r="A43" s="1" t="s">
        <v>44</v>
      </c>
      <c r="C43" s="1"/>
      <c r="H43" s="2"/>
      <c r="I43" s="1"/>
      <c r="N43" s="5"/>
      <c r="O43" s="5"/>
      <c r="P43" s="1" t="str">
        <f>IF(ActiveLabor_Table[[#This Row],[JobNum]]&lt;&gt;"",ROUND(($U$1-ActiveLabor_Table[[#This Row],[ClockinTime]])*24*ActiveLabor_Table[[#This Row],[ProdStandard]],0),"")</f>
        <v/>
      </c>
      <c r="Q43" s="3" t="str">
        <f>IFERROR(ActiveLabor_Table[[#This Row],[TotalLabor]]/ActiveLabor_Table[[#This Row],[ProdQty]],"")</f>
        <v/>
      </c>
      <c r="R4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3" s="6" t="str">
        <f>IF(AND(ActiveLabor_Table[[#This Row],[JobNum]]&lt;&gt;""),($U$1-ActiveLabor_Table[[#This Row],[ClockinTime]]),"")</f>
        <v/>
      </c>
      <c r="T43" s="3"/>
    </row>
    <row r="44" spans="1:20" x14ac:dyDescent="0.25">
      <c r="A44" s="1" t="s">
        <v>45</v>
      </c>
      <c r="C44" s="1"/>
      <c r="H44" s="2"/>
      <c r="I44" s="1"/>
      <c r="N44" s="5"/>
      <c r="O44" s="5"/>
      <c r="P44" s="1" t="str">
        <f>IF(ActiveLabor_Table[[#This Row],[JobNum]]&lt;&gt;"",ROUND(($U$1-ActiveLabor_Table[[#This Row],[ClockinTime]])*24*ActiveLabor_Table[[#This Row],[ProdStandard]],0),"")</f>
        <v/>
      </c>
      <c r="Q44" s="3" t="str">
        <f>IFERROR(ActiveLabor_Table[[#This Row],[TotalLabor]]/ActiveLabor_Table[[#This Row],[ProdQty]],"")</f>
        <v/>
      </c>
      <c r="R4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4" s="6" t="str">
        <f>IF(AND(ActiveLabor_Table[[#This Row],[JobNum]]&lt;&gt;""),($U$1-ActiveLabor_Table[[#This Row],[ClockinTime]]),"")</f>
        <v/>
      </c>
      <c r="T44" s="3"/>
    </row>
    <row r="45" spans="1:20" x14ac:dyDescent="0.25">
      <c r="A45" s="1" t="s">
        <v>46</v>
      </c>
      <c r="C45" s="1"/>
      <c r="H45" s="2"/>
      <c r="I45" s="1"/>
      <c r="N45" s="5"/>
      <c r="O45" s="5"/>
      <c r="P45" s="1" t="str">
        <f>IF(ActiveLabor_Table[[#This Row],[JobNum]]&lt;&gt;"",ROUND(($U$1-ActiveLabor_Table[[#This Row],[ClockinTime]])*24*ActiveLabor_Table[[#This Row],[ProdStandard]],0),"")</f>
        <v/>
      </c>
      <c r="Q45" s="3" t="str">
        <f>IFERROR(ActiveLabor_Table[[#This Row],[TotalLabor]]/ActiveLabor_Table[[#This Row],[ProdQty]],"")</f>
        <v/>
      </c>
      <c r="R4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5" s="6" t="str">
        <f>IF(AND(ActiveLabor_Table[[#This Row],[JobNum]]&lt;&gt;""),($U$1-ActiveLabor_Table[[#This Row],[ClockinTime]]),"")</f>
        <v/>
      </c>
      <c r="T45" s="3"/>
    </row>
    <row r="46" spans="1:20" x14ac:dyDescent="0.25">
      <c r="A46" s="1" t="s">
        <v>47</v>
      </c>
      <c r="B46" s="1" t="s">
        <v>73</v>
      </c>
      <c r="C46" s="1" t="s">
        <v>97</v>
      </c>
      <c r="D46" s="1" t="s">
        <v>98</v>
      </c>
      <c r="E46" s="1">
        <v>40</v>
      </c>
      <c r="F46" s="1" t="s">
        <v>99</v>
      </c>
      <c r="G46" s="1" t="s">
        <v>90</v>
      </c>
      <c r="H46" s="2">
        <v>0.67083300000000001</v>
      </c>
      <c r="I46" s="1" t="s">
        <v>18</v>
      </c>
      <c r="J46" s="1">
        <v>2.5</v>
      </c>
      <c r="K46" s="1">
        <v>969</v>
      </c>
      <c r="L46" s="1">
        <v>675</v>
      </c>
      <c r="M46" s="1" t="s">
        <v>72</v>
      </c>
      <c r="N46" s="5">
        <v>0.125</v>
      </c>
      <c r="O46" s="5">
        <v>0.10416599999999999</v>
      </c>
      <c r="P46" s="1">
        <f ca="1">IF(ActiveLabor_Table[[#This Row],[JobNum]]&lt;&gt;"",ROUND(($U$1-ActiveLabor_Table[[#This Row],[ClockinTime]])*24*ActiveLabor_Table[[#This Row],[ProdStandard]],0),"")</f>
        <v>0</v>
      </c>
      <c r="Q46" s="3">
        <f>IFERROR(ActiveLabor_Table[[#This Row],[TotalLabor]]/ActiveLabor_Table[[#This Row],[ProdQty]],"")</f>
        <v>1.4355555555555555</v>
      </c>
      <c r="R46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</v>
      </c>
      <c r="S46" s="6">
        <f ca="1">IF(AND(ActiveLabor_Table[[#This Row],[JobNum]]&lt;&gt;""),($U$1-ActiveLabor_Table[[#This Row],[ClockinTime]]),"")</f>
        <v>4.4203564795157746E-3</v>
      </c>
      <c r="T46" s="3"/>
    </row>
    <row r="47" spans="1:20" x14ac:dyDescent="0.25">
      <c r="A47" s="1" t="s">
        <v>48</v>
      </c>
      <c r="C47" s="1"/>
      <c r="H47" s="2"/>
      <c r="I47" s="1"/>
      <c r="N47" s="5"/>
      <c r="O47" s="5"/>
      <c r="P47" s="1" t="str">
        <f>IF(ActiveLabor_Table[[#This Row],[JobNum]]&lt;&gt;"",ROUND(($U$1-ActiveLabor_Table[[#This Row],[ClockinTime]])*24*ActiveLabor_Table[[#This Row],[ProdStandard]],0),"")</f>
        <v/>
      </c>
      <c r="Q47" s="3" t="str">
        <f>IFERROR(ActiveLabor_Table[[#This Row],[TotalLabor]]/ActiveLabor_Table[[#This Row],[ProdQty]],"")</f>
        <v/>
      </c>
      <c r="R4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7" s="6" t="str">
        <f>IF(AND(ActiveLabor_Table[[#This Row],[JobNum]]&lt;&gt;""),($U$1-ActiveLabor_Table[[#This Row],[ClockinTime]]),"")</f>
        <v/>
      </c>
      <c r="T47" s="3"/>
    </row>
    <row r="48" spans="1:20" x14ac:dyDescent="0.25">
      <c r="A48" s="1" t="s">
        <v>49</v>
      </c>
      <c r="C48" s="1"/>
      <c r="H48" s="2"/>
      <c r="I48" s="1"/>
      <c r="N48" s="5"/>
      <c r="O48" s="5"/>
      <c r="P48" s="1" t="str">
        <f>IF(ActiveLabor_Table[[#This Row],[JobNum]]&lt;&gt;"",ROUND(($U$1-ActiveLabor_Table[[#This Row],[ClockinTime]])*24*ActiveLabor_Table[[#This Row],[ProdStandard]],0),"")</f>
        <v/>
      </c>
      <c r="Q48" s="3" t="str">
        <f>IFERROR(ActiveLabor_Table[[#This Row],[TotalLabor]]/ActiveLabor_Table[[#This Row],[ProdQty]],"")</f>
        <v/>
      </c>
      <c r="R4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8" s="6" t="str">
        <f>IF(AND(ActiveLabor_Table[[#This Row],[JobNum]]&lt;&gt;""),($U$1-ActiveLabor_Table[[#This Row],[ClockinTime]]),"")</f>
        <v/>
      </c>
      <c r="T48" s="3"/>
    </row>
    <row r="49" spans="1:20" x14ac:dyDescent="0.25">
      <c r="A49" s="1" t="s">
        <v>50</v>
      </c>
      <c r="C49" s="1"/>
      <c r="H49" s="2"/>
      <c r="I49" s="1"/>
      <c r="N49" s="5"/>
      <c r="O49" s="5"/>
      <c r="P49" s="1" t="str">
        <f>IF(ActiveLabor_Table[[#This Row],[JobNum]]&lt;&gt;"",ROUND(($U$1-ActiveLabor_Table[[#This Row],[ClockinTime]])*24*ActiveLabor_Table[[#This Row],[ProdStandard]],0),"")</f>
        <v/>
      </c>
      <c r="Q49" s="3" t="str">
        <f>IFERROR(ActiveLabor_Table[[#This Row],[TotalLabor]]/ActiveLabor_Table[[#This Row],[ProdQty]],"")</f>
        <v/>
      </c>
      <c r="R4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9" s="6" t="str">
        <f>IF(AND(ActiveLabor_Table[[#This Row],[JobNum]]&lt;&gt;""),($U$1-ActiveLabor_Table[[#This Row],[ClockinTime]]),"")</f>
        <v/>
      </c>
      <c r="T49" s="3"/>
    </row>
    <row r="50" spans="1:20" x14ac:dyDescent="0.25">
      <c r="A50" s="1" t="s">
        <v>51</v>
      </c>
      <c r="C50" s="1"/>
      <c r="H50" s="2"/>
      <c r="I50" s="1"/>
      <c r="N50" s="5"/>
      <c r="O50" s="5"/>
      <c r="P50" s="1" t="str">
        <f>IF(ActiveLabor_Table[[#This Row],[JobNum]]&lt;&gt;"",ROUND(($U$1-ActiveLabor_Table[[#This Row],[ClockinTime]])*24*ActiveLabor_Table[[#This Row],[ProdStandard]],0),"")</f>
        <v/>
      </c>
      <c r="Q50" s="3" t="str">
        <f>IFERROR(ActiveLabor_Table[[#This Row],[TotalLabor]]/ActiveLabor_Table[[#This Row],[ProdQty]],"")</f>
        <v/>
      </c>
      <c r="R5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0" s="6" t="str">
        <f>IF(AND(ActiveLabor_Table[[#This Row],[JobNum]]&lt;&gt;""),($U$1-ActiveLabor_Table[[#This Row],[ClockinTime]]),"")</f>
        <v/>
      </c>
      <c r="T50" s="3"/>
    </row>
    <row r="51" spans="1:20" x14ac:dyDescent="0.25">
      <c r="A51" s="1" t="s">
        <v>52</v>
      </c>
      <c r="C51" s="1"/>
      <c r="H51" s="2"/>
      <c r="I51" s="1"/>
      <c r="N51" s="5"/>
      <c r="O51" s="5"/>
      <c r="P51" s="1" t="str">
        <f>IF(ActiveLabor_Table[[#This Row],[JobNum]]&lt;&gt;"",ROUND(($U$1-ActiveLabor_Table[[#This Row],[ClockinTime]])*24*ActiveLabor_Table[[#This Row],[ProdStandard]],0),"")</f>
        <v/>
      </c>
      <c r="Q51" s="3" t="str">
        <f>IFERROR(ActiveLabor_Table[[#This Row],[TotalLabor]]/ActiveLabor_Table[[#This Row],[ProdQty]],"")</f>
        <v/>
      </c>
      <c r="R5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1" s="6" t="str">
        <f>IF(AND(ActiveLabor_Table[[#This Row],[JobNum]]&lt;&gt;""),($U$1-ActiveLabor_Table[[#This Row],[ClockinTime]]),"")</f>
        <v/>
      </c>
      <c r="T51" s="3"/>
    </row>
    <row r="52" spans="1:20" x14ac:dyDescent="0.25">
      <c r="A52" s="1" t="s">
        <v>53</v>
      </c>
      <c r="C52" s="1"/>
      <c r="H52" s="2"/>
      <c r="I52" s="1"/>
      <c r="N52" s="5"/>
      <c r="O52" s="5"/>
      <c r="P52" s="1" t="str">
        <f>IF(ActiveLabor_Table[[#This Row],[JobNum]]&lt;&gt;"",ROUND(($U$1-ActiveLabor_Table[[#This Row],[ClockinTime]])*24*ActiveLabor_Table[[#This Row],[ProdStandard]],0),"")</f>
        <v/>
      </c>
      <c r="Q52" s="3" t="str">
        <f>IFERROR(ActiveLabor_Table[[#This Row],[TotalLabor]]/ActiveLabor_Table[[#This Row],[ProdQty]],"")</f>
        <v/>
      </c>
      <c r="R5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2" s="6" t="str">
        <f>IF(AND(ActiveLabor_Table[[#This Row],[JobNum]]&lt;&gt;""),($U$1-ActiveLabor_Table[[#This Row],[ClockinTime]]),"")</f>
        <v/>
      </c>
      <c r="T52" s="3"/>
    </row>
    <row r="53" spans="1:20" x14ac:dyDescent="0.25">
      <c r="A53" s="1" t="s">
        <v>54</v>
      </c>
      <c r="C53" s="1"/>
      <c r="H53" s="2"/>
      <c r="I53" s="1"/>
      <c r="N53" s="5"/>
      <c r="O53" s="5"/>
      <c r="P53" s="1" t="str">
        <f>IF(ActiveLabor_Table[[#This Row],[JobNum]]&lt;&gt;"",ROUND(($U$1-ActiveLabor_Table[[#This Row],[ClockinTime]])*24*ActiveLabor_Table[[#This Row],[ProdStandard]],0),"")</f>
        <v/>
      </c>
      <c r="Q53" s="3" t="str">
        <f>IFERROR(ActiveLabor_Table[[#This Row],[TotalLabor]]/ActiveLabor_Table[[#This Row],[ProdQty]],"")</f>
        <v/>
      </c>
      <c r="R5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3" s="6" t="str">
        <f>IF(AND(ActiveLabor_Table[[#This Row],[JobNum]]&lt;&gt;""),($U$1-ActiveLabor_Table[[#This Row],[ClockinTime]]),"")</f>
        <v/>
      </c>
      <c r="T53" s="3"/>
    </row>
    <row r="54" spans="1:20" x14ac:dyDescent="0.25">
      <c r="A54" s="1" t="s">
        <v>55</v>
      </c>
      <c r="C54" s="1"/>
      <c r="H54" s="2"/>
      <c r="I54" s="1"/>
      <c r="N54" s="5"/>
      <c r="O54" s="5"/>
      <c r="P54" s="1" t="str">
        <f>IF(ActiveLabor_Table[[#This Row],[JobNum]]&lt;&gt;"",ROUND(($U$1-ActiveLabor_Table[[#This Row],[ClockinTime]])*24*ActiveLabor_Table[[#This Row],[ProdStandard]],0),"")</f>
        <v/>
      </c>
      <c r="Q54" s="3" t="str">
        <f>IFERROR(ActiveLabor_Table[[#This Row],[TotalLabor]]/ActiveLabor_Table[[#This Row],[ProdQty]],"")</f>
        <v/>
      </c>
      <c r="R5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4" s="6" t="str">
        <f>IF(AND(ActiveLabor_Table[[#This Row],[JobNum]]&lt;&gt;""),($U$1-ActiveLabor_Table[[#This Row],[ClockinTime]]),"")</f>
        <v/>
      </c>
      <c r="T54" s="3"/>
    </row>
    <row r="55" spans="1:20" x14ac:dyDescent="0.25">
      <c r="A55" s="1" t="s">
        <v>56</v>
      </c>
      <c r="C55" s="1"/>
      <c r="H55" s="2"/>
      <c r="I55" s="1"/>
      <c r="N55" s="5"/>
      <c r="O55" s="5"/>
      <c r="P55" s="1" t="str">
        <f>IF(ActiveLabor_Table[[#This Row],[JobNum]]&lt;&gt;"",ROUND(($U$1-ActiveLabor_Table[[#This Row],[ClockinTime]])*24*ActiveLabor_Table[[#This Row],[ProdStandard]],0),"")</f>
        <v/>
      </c>
      <c r="Q55" s="3" t="str">
        <f>IFERROR(ActiveLabor_Table[[#This Row],[TotalLabor]]/ActiveLabor_Table[[#This Row],[ProdQty]],"")</f>
        <v/>
      </c>
      <c r="R5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5" s="6" t="str">
        <f>IF(AND(ActiveLabor_Table[[#This Row],[JobNum]]&lt;&gt;""),($U$1-ActiveLabor_Table[[#This Row],[ClockinTime]]),"")</f>
        <v/>
      </c>
      <c r="T55" s="3"/>
    </row>
    <row r="56" spans="1:20" x14ac:dyDescent="0.25">
      <c r="A56" s="1" t="s">
        <v>57</v>
      </c>
      <c r="C56" s="1"/>
      <c r="H56" s="2"/>
      <c r="I56" s="1"/>
      <c r="N56" s="5"/>
      <c r="O56" s="5"/>
      <c r="P56" s="1" t="str">
        <f>IF(ActiveLabor_Table[[#This Row],[JobNum]]&lt;&gt;"",ROUND(($U$1-ActiveLabor_Table[[#This Row],[ClockinTime]])*24*ActiveLabor_Table[[#This Row],[ProdStandard]],0),"")</f>
        <v/>
      </c>
      <c r="Q56" s="3" t="str">
        <f>IFERROR(ActiveLabor_Table[[#This Row],[TotalLabor]]/ActiveLabor_Table[[#This Row],[ProdQty]],"")</f>
        <v/>
      </c>
      <c r="R5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6" s="6" t="str">
        <f>IF(AND(ActiveLabor_Table[[#This Row],[JobNum]]&lt;&gt;""),($U$1-ActiveLabor_Table[[#This Row],[ClockinTime]]),"")</f>
        <v/>
      </c>
      <c r="T56" s="3"/>
    </row>
    <row r="57" spans="1:20" x14ac:dyDescent="0.25">
      <c r="A57" s="1" t="s">
        <v>58</v>
      </c>
      <c r="C57" s="1"/>
      <c r="H57" s="2"/>
      <c r="I57" s="1"/>
      <c r="N57" s="5"/>
      <c r="O57" s="5"/>
      <c r="P57" s="1" t="str">
        <f>IF(ActiveLabor_Table[[#This Row],[JobNum]]&lt;&gt;"",ROUND(($U$1-ActiveLabor_Table[[#This Row],[ClockinTime]])*24*ActiveLabor_Table[[#This Row],[ProdStandard]],0),"")</f>
        <v/>
      </c>
      <c r="Q57" s="3" t="str">
        <f>IFERROR(ActiveLabor_Table[[#This Row],[TotalLabor]]/ActiveLabor_Table[[#This Row],[ProdQty]],"")</f>
        <v/>
      </c>
      <c r="R5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7" s="6" t="str">
        <f>IF(AND(ActiveLabor_Table[[#This Row],[JobNum]]&lt;&gt;""),($U$1-ActiveLabor_Table[[#This Row],[ClockinTime]]),"")</f>
        <v/>
      </c>
      <c r="T57" s="3"/>
    </row>
    <row r="58" spans="1:20" x14ac:dyDescent="0.25">
      <c r="A58" s="1" t="s">
        <v>59</v>
      </c>
      <c r="C58" s="1"/>
      <c r="H58" s="2"/>
      <c r="I58" s="1"/>
      <c r="N58" s="5"/>
      <c r="O58" s="5"/>
      <c r="P58" s="1" t="str">
        <f>IF(ActiveLabor_Table[[#This Row],[JobNum]]&lt;&gt;"",ROUND(($U$1-ActiveLabor_Table[[#This Row],[ClockinTime]])*24*ActiveLabor_Table[[#This Row],[ProdStandard]],0),"")</f>
        <v/>
      </c>
      <c r="Q58" s="3" t="str">
        <f>IFERROR(ActiveLabor_Table[[#This Row],[TotalLabor]]/ActiveLabor_Table[[#This Row],[ProdQty]],"")</f>
        <v/>
      </c>
      <c r="R5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8" s="6" t="str">
        <f>IF(AND(ActiveLabor_Table[[#This Row],[JobNum]]&lt;&gt;""),($U$1-ActiveLabor_Table[[#This Row],[ClockinTime]]),"")</f>
        <v/>
      </c>
      <c r="T58" s="3"/>
    </row>
    <row r="59" spans="1:20" x14ac:dyDescent="0.25">
      <c r="A59" s="1" t="s">
        <v>60</v>
      </c>
      <c r="C59" s="1"/>
      <c r="H59" s="2"/>
      <c r="I59" s="1"/>
      <c r="N59" s="5"/>
      <c r="O59" s="5"/>
      <c r="P59" s="1" t="str">
        <f>IF(ActiveLabor_Table[[#This Row],[JobNum]]&lt;&gt;"",ROUND(($U$1-ActiveLabor_Table[[#This Row],[ClockinTime]])*24*ActiveLabor_Table[[#This Row],[ProdStandard]],0),"")</f>
        <v/>
      </c>
      <c r="Q59" s="3" t="str">
        <f>IFERROR(ActiveLabor_Table[[#This Row],[TotalLabor]]/ActiveLabor_Table[[#This Row],[ProdQty]],"")</f>
        <v/>
      </c>
      <c r="R5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9" s="6" t="str">
        <f>IF(AND(ActiveLabor_Table[[#This Row],[JobNum]]&lt;&gt;""),($U$1-ActiveLabor_Table[[#This Row],[ClockinTime]]),"")</f>
        <v/>
      </c>
      <c r="T59" s="3"/>
    </row>
    <row r="60" spans="1:20" x14ac:dyDescent="0.25">
      <c r="A60" s="1" t="s">
        <v>61</v>
      </c>
      <c r="B60" s="1" t="s">
        <v>66</v>
      </c>
      <c r="C60" s="1" t="s">
        <v>62</v>
      </c>
      <c r="D60" s="1" t="s">
        <v>63</v>
      </c>
      <c r="E60" s="1">
        <v>40</v>
      </c>
      <c r="F60" s="1" t="s">
        <v>64</v>
      </c>
      <c r="G60" s="1" t="s">
        <v>90</v>
      </c>
      <c r="H60" s="2">
        <v>0.56791599999999998</v>
      </c>
      <c r="I60" s="1" t="s">
        <v>18</v>
      </c>
      <c r="J60" s="1">
        <v>80</v>
      </c>
      <c r="K60" s="1">
        <v>1407</v>
      </c>
      <c r="L60" s="1">
        <v>1600</v>
      </c>
      <c r="M60" s="1" t="s">
        <v>65</v>
      </c>
      <c r="N60" s="5">
        <v>8.3333000000000004E-2</v>
      </c>
      <c r="O60" s="5">
        <v>0.83333299999999999</v>
      </c>
      <c r="P60" s="1">
        <f ca="1">IF(ActiveLabor_Table[[#This Row],[JobNum]]&lt;&gt;"",ROUND(($U$1-ActiveLabor_Table[[#This Row],[ClockinTime]])*24*ActiveLabor_Table[[#This Row],[ProdStandard]],0),"")</f>
        <v>206</v>
      </c>
      <c r="Q60" s="3">
        <f>IFERROR(ActiveLabor_Table[[#This Row],[TotalLabor]]/ActiveLabor_Table[[#This Row],[ProdQty]],"")</f>
        <v>0.87937500000000002</v>
      </c>
      <c r="R60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0.12875</v>
      </c>
      <c r="S60" s="6">
        <f ca="1">IF(AND(ActiveLabor_Table[[#This Row],[JobNum]]&lt;&gt;""),($U$1-ActiveLabor_Table[[#This Row],[ClockinTime]]),"")</f>
        <v>0.10733735647951581</v>
      </c>
      <c r="T60" s="3"/>
    </row>
    <row r="61" spans="1:20" x14ac:dyDescent="0.25">
      <c r="A61" s="1" t="s">
        <v>67</v>
      </c>
      <c r="C61" s="1"/>
      <c r="H61" s="2"/>
      <c r="I61" s="1"/>
      <c r="N61" s="5"/>
      <c r="O61" s="5"/>
      <c r="P61" s="1" t="str">
        <f>IF(ActiveLabor_Table[[#This Row],[JobNum]]&lt;&gt;"",ROUND(($U$1-ActiveLabor_Table[[#This Row],[ClockinTime]])*24*ActiveLabor_Table[[#This Row],[ProdStandard]],0),"")</f>
        <v/>
      </c>
      <c r="Q61" s="3" t="str">
        <f>IFERROR(ActiveLabor_Table[[#This Row],[TotalLabor]]/ActiveLabor_Table[[#This Row],[ProdQty]],"")</f>
        <v/>
      </c>
      <c r="R6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1" s="6" t="str">
        <f>IF(AND(ActiveLabor_Table[[#This Row],[JobNum]]&lt;&gt;""),($U$1-ActiveLabor_Table[[#This Row],[ClockinTime]]),"")</f>
        <v/>
      </c>
      <c r="T61" s="3"/>
    </row>
    <row r="62" spans="1:20" x14ac:dyDescent="0.25">
      <c r="A62" s="1" t="s">
        <v>68</v>
      </c>
      <c r="C62" s="1"/>
      <c r="H62" s="2"/>
      <c r="I62" s="1"/>
      <c r="N62" s="5"/>
      <c r="O62" s="5"/>
      <c r="P62" s="1" t="str">
        <f>IF(ActiveLabor_Table[[#This Row],[JobNum]]&lt;&gt;"",ROUND(($U$1-ActiveLabor_Table[[#This Row],[ClockinTime]])*24*ActiveLabor_Table[[#This Row],[ProdStandard]],0),"")</f>
        <v/>
      </c>
      <c r="Q62" s="3" t="str">
        <f>IFERROR(ActiveLabor_Table[[#This Row],[TotalLabor]]/ActiveLabor_Table[[#This Row],[ProdQty]],"")</f>
        <v/>
      </c>
      <c r="R6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2" s="6" t="str">
        <f>IF(AND(ActiveLabor_Table[[#This Row],[JobNum]]&lt;&gt;""),($U$1-ActiveLabor_Table[[#This Row],[ClockinTime]]),"")</f>
        <v/>
      </c>
      <c r="T62" s="3"/>
    </row>
    <row r="63" spans="1:20" x14ac:dyDescent="0.25">
      <c r="A63" s="1" t="s">
        <v>69</v>
      </c>
      <c r="C63" s="1"/>
      <c r="H63" s="2"/>
      <c r="I63" s="1"/>
      <c r="N63" s="5"/>
      <c r="O63" s="5"/>
      <c r="P63" s="1" t="str">
        <f>IF(ActiveLabor_Table[[#This Row],[JobNum]]&lt;&gt;"",ROUND(($U$1-ActiveLabor_Table[[#This Row],[ClockinTime]])*24*ActiveLabor_Table[[#This Row],[ProdStandard]],0),"")</f>
        <v/>
      </c>
      <c r="Q63" s="3" t="str">
        <f>IFERROR(ActiveLabor_Table[[#This Row],[TotalLabor]]/ActiveLabor_Table[[#This Row],[ProdQty]],"")</f>
        <v/>
      </c>
      <c r="R6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3" s="6" t="str">
        <f>IF(AND(ActiveLabor_Table[[#This Row],[JobNum]]&lt;&gt;""),($U$1-ActiveLabor_Table[[#This Row],[ClockinTime]]),"")</f>
        <v/>
      </c>
      <c r="T63" s="3"/>
    </row>
    <row r="64" spans="1:20" x14ac:dyDescent="0.25">
      <c r="A64" s="1" t="s">
        <v>70</v>
      </c>
      <c r="C64" s="1"/>
      <c r="H64" s="2"/>
      <c r="I64" s="1"/>
      <c r="N64" s="5"/>
      <c r="O64" s="5"/>
      <c r="P64" s="1" t="str">
        <f>IF(ActiveLabor_Table[[#This Row],[JobNum]]&lt;&gt;"",ROUND(($U$1-ActiveLabor_Table[[#This Row],[ClockinTime]])*24*ActiveLabor_Table[[#This Row],[ProdStandard]],0),"")</f>
        <v/>
      </c>
      <c r="Q64" s="3" t="str">
        <f>IFERROR(ActiveLabor_Table[[#This Row],[TotalLabor]]/ActiveLabor_Table[[#This Row],[ProdQty]],"")</f>
        <v/>
      </c>
      <c r="R6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4" s="6" t="str">
        <f>IF(AND(ActiveLabor_Table[[#This Row],[JobNum]]&lt;&gt;""),($U$1-ActiveLabor_Table[[#This Row],[ClockinTime]]),"")</f>
        <v/>
      </c>
      <c r="T64" s="3"/>
    </row>
    <row r="65" spans="1:20" x14ac:dyDescent="0.25">
      <c r="A65" s="1" t="s">
        <v>71</v>
      </c>
      <c r="C65" s="1"/>
      <c r="H65" s="2"/>
      <c r="I65" s="1"/>
      <c r="N65" s="5"/>
      <c r="O65" s="5"/>
      <c r="P65" s="1" t="str">
        <f>IF(ActiveLabor_Table[[#This Row],[JobNum]]&lt;&gt;"",ROUND(($U$1-ActiveLabor_Table[[#This Row],[ClockinTime]])*24*ActiveLabor_Table[[#This Row],[ProdStandard]],0),"")</f>
        <v/>
      </c>
      <c r="Q65" s="3" t="str">
        <f>IFERROR(ActiveLabor_Table[[#This Row],[TotalLabor]]/ActiveLabor_Table[[#This Row],[ProdQty]],"")</f>
        <v/>
      </c>
      <c r="R6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5" s="6" t="str">
        <f>IF(AND(ActiveLabor_Table[[#This Row],[JobNum]]&lt;&gt;""),($U$1-ActiveLabor_Table[[#This Row],[ClockinTime]]),"")</f>
        <v/>
      </c>
      <c r="T65" s="3"/>
    </row>
    <row r="66" spans="1:20" x14ac:dyDescent="0.25">
      <c r="L66" s="2"/>
    </row>
    <row r="67" spans="1:20" x14ac:dyDescent="0.25">
      <c r="L67" s="2"/>
    </row>
    <row r="68" spans="1:20" x14ac:dyDescent="0.25">
      <c r="L68" s="2"/>
    </row>
    <row r="69" spans="1:20" x14ac:dyDescent="0.25">
      <c r="L69" s="2"/>
    </row>
    <row r="70" spans="1:20" x14ac:dyDescent="0.25">
      <c r="L70" s="2"/>
    </row>
    <row r="71" spans="1:20" x14ac:dyDescent="0.25">
      <c r="L71" s="2"/>
    </row>
    <row r="72" spans="1:20" x14ac:dyDescent="0.25">
      <c r="L72" s="2"/>
    </row>
    <row r="73" spans="1:20" x14ac:dyDescent="0.25">
      <c r="L73" s="2"/>
    </row>
    <row r="74" spans="1:20" x14ac:dyDescent="0.25">
      <c r="L74" s="2"/>
    </row>
    <row r="75" spans="1:20" x14ac:dyDescent="0.25">
      <c r="L75" s="2"/>
    </row>
    <row r="76" spans="1:20" x14ac:dyDescent="0.25">
      <c r="L76" s="2"/>
    </row>
    <row r="77" spans="1:20" x14ac:dyDescent="0.25">
      <c r="L77" s="2"/>
    </row>
    <row r="78" spans="1:20" x14ac:dyDescent="0.25">
      <c r="L78" s="2"/>
    </row>
    <row r="79" spans="1:20" x14ac:dyDescent="0.25">
      <c r="L79" s="2"/>
    </row>
    <row r="80" spans="1:20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ShopFloor</vt:lpstr>
      <vt:lpstr>LaborData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Joshua Zastrow</cp:lastModifiedBy>
  <dcterms:created xsi:type="dcterms:W3CDTF">2016-07-05T19:12:27Z</dcterms:created>
  <dcterms:modified xsi:type="dcterms:W3CDTF">2016-07-06T20:12:43Z</dcterms:modified>
</cp:coreProperties>
</file>
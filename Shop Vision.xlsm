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28800" windowHeight="12135"/>
  </bookViews>
  <sheets>
    <sheet name="ShopFloor" sheetId="2" r:id="rId1"/>
    <sheet name="LaborData" sheetId="3" r:id="rId2"/>
    <sheet name="Sheet2" sheetId="4" r:id="rId3"/>
  </sheets>
  <functionGroups builtInGroupCount="18"/>
  <definedNames>
    <definedName name="ActiveLabor" localSheetId="1" hidden="1">LaborData!$A$1:$M$65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3" l="1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6" i="3"/>
  <c r="P57" i="3"/>
  <c r="P58" i="3"/>
  <c r="P59" i="3"/>
  <c r="P61" i="3"/>
  <c r="P62" i="3"/>
  <c r="P63" i="3"/>
  <c r="P64" i="3"/>
  <c r="P65" i="3"/>
  <c r="P2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6" i="3"/>
  <c r="N57" i="3"/>
  <c r="N58" i="3"/>
  <c r="N59" i="3"/>
  <c r="N61" i="3"/>
  <c r="N62" i="3"/>
  <c r="N63" i="3"/>
  <c r="N64" i="3"/>
  <c r="N65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S1" i="3" l="1"/>
  <c r="N55" i="3" l="1"/>
  <c r="P55" i="3" s="1"/>
  <c r="N60" i="3"/>
  <c r="P60" i="3" s="1"/>
</calcChain>
</file>

<file path=xl/connections.xml><?xml version="1.0" encoding="utf-8"?>
<connections xmlns="http://schemas.openxmlformats.org/spreadsheetml/2006/main">
  <connection id="1" name="ActiveLabor" type="1" refreshedVersion="5" background="1" saveData="1">
    <dbPr connection="DRIVER=SQL Server;SERVER=HEMSQL1;UID=Joshua Zastrow;Trusted_Connection=Yes;APP=Microsoft Office 2013;WSID=D3BJ1P12;DATABASE=ERP10PROD" command="Select  [Resource].[ResourceID] as [Resource ID],_x000d__x000a_        [LaborActivity].[JobHead_JobNum] as [JobNum],_x000d__x000a_        [LaborActivity].[JobHead_PartNum] as [PartNum],_x000d__x000a_        [LaborActivity].[JobHead_ProdQty] as [ProdQty],_x000d__x000a_        [LaborActivity].[JobHead_ReqDueDate] as [ReqDueDate],_x000d__x000a_        [LaborActivity].[OpNum] as [OpNum],_x000d__x000a_        [LaborActivity].[EmpBasic_FirstName] as [Employee],_x000d__x000a_        [LaborActivity].[LaborDtl_ClockInDate] as [ClockInDate],_x000d__x000a_        [LaborActivity].[Resource_Description] as [ResourceDescription],_x000d__x000a_        [LaborActivity].[LaborDtl_ClockinTime] as [ClockinTime],_x000d__x000a_        [LaborActivity].[LaborDtl_LaborType] as [LaborType],_x000d__x000a_        [LaborActivity].[JobOpDtl_ProdStandard] as [ProdStandard],_x000d__x000a_        [LaborActivity].[LaborHistory_TotalLabor] as [TotalLabor]_x000d__x000a__x000d__x000a_FROM Erp.Resource as Resource_x000d__x000a_ FULL OUTER JOIN (SELECT_x000d__x000a_  [JobHead].[JobNum] as [JobHead_JobNum],_x000d__x000a_  [JobHead].[PartNum] as [JobHead_PartNum],_x000d__x000a_  [JobHead].[ProdQty] as [JobHead_ProdQty],_x000d__x000a_  [JobHead].[ReqDueDate] as [JobHead_ReqDueDate],_x000d__x000a_  [LaborDtl].[OprSeq] as [OpNum],_x000d__x000a_  [EmpBasic].[FirstName] as [EmpBasic_FirstName],_x000d__x000a_  [LaborDtl].[ClockInDate] as [LaborDtl_ClockInDate],_x000d__x000a_  [LaborDtl].[ResourceID] as [LaborDtl_ResourceID],_x000d__x000a_  [Resource].[Description] as [Resource_Description],_x000d__x000a_  [Resource].[ResourceType] as [ResourceType],_x000d__x000a_  [LaborDtl].[ClockinTime]/24 as [LaborDtl_ClockinTime],_x000d__x000a_  [LaborDtl].[LaborType] as [LaborDtl_LaborType],_x000d__x000a_  [JobOpDtl].[ProdStandard] as [JobOpDtl_ProdStandard],_x000d__x000a_  [LaborHistory].[TotalLabor] as [LaborHistory_TotalLabor]_x000d__x000a__x000d__x000a_FROM Erp.LaborDtl as LaborDtl_x000d__x000a_  INNER JOIN Erp.JobHead as JobHead_x000d__x000a_    ON   _x0009_LaborDtl.Company = JobHead.Company_x000d__x000a_    AND  _x0009_LaborDtl.JobNum = JobHead.JobNum_x000d__x000a__x000d__x000a_  INNER JOIN Erp.EmpBasic as EmpBasic_x000d__x000a_    ON   _x0009_LaborDtl.Company = EmpBasic.Company_x000d__x000a_    AND  _x0009_LaborDtl.EmployeeNum = EmpBasic.EmpID_x000d__x000a_  INNER JOIN Erp.Resource as Resource_x000d__x000a_    ON   _x0009_LaborDtl.Company = Resource.Company_x000d__x000a_    AND  _x0009_LaborDtl.ResourceID = Resource.ResourceID_x000d__x000a_  INNER JOIN Erp.JobOpDtl as JobOpDtl_x000d__x000a_    ON   _x0009_LaborDtl.Company = JobOpDtl.Company_x000d__x000a_    AND  _x0009_LaborDtl.JobNum = JobOpDtl.JobNum_x000d__x000a_    AND  _x0009_LaborDtl.OprSeq = JobOpDtl.OprSeq_x000d__x000a__x000d__x000a_  LEFT JOIN ( --LABOR HISTORY SUB QUERY_x000d__x000a_        SELECT_x000d__x000a_        l.JobNum,_x000d__x000a_        l.OprSeq ,_x000d__x000a_        SUM(l.LaborQty)  as TotalLabor,_x000d__x000a_        jh.PartNum_x000d__x000a__x000d__x000a_        FROM Erp.LaborDtl l_x000d__x000a_          INNER JOIN Erp.JobHead jh_x000d__x000a_            ON  l.Company = jh.Company_x000d__x000a_            AND l.JobNum = jh.JobNum_x000d__x000a__x000d__x000a_        GROUP BY l.JobNum, l.OprSeq, jh.PartNum_x000d__x000a_        HAVING COUNT(CASE ActiveTrans WHEN 1 THEN 1 END) &gt;0_x000d__x000a_            ) AS LaborHistory_x000d__x000a__x000d__x000a_    ON LaborDtl.JobNum = LaborHistory.JobNum_x000d__x000a_    AND LaborDtl.OprSeq = LaborHistory.OprSeq_x000d__x000a_  --Active transactions with a clock in date of today_x000d__x000a_  WHERE LaborDtl.ActiveTrans = 1 AND convert(varchar(10), LaborDtl.ClockInDate, 102)_x000d__x000a_    = convert(varchar(10), getdate(), 102)) as LaborActivity_x000d__x000a__x000d__x000a_    ON Resource.ResourceID = LaborActivity.LaborDtl_ResourceID_x000d__x000a__x000d__x000a_  WHERE Resource.ResourceType = 'M'"/>
  </connection>
</connections>
</file>

<file path=xl/sharedStrings.xml><?xml version="1.0" encoding="utf-8"?>
<sst xmlns="http://schemas.openxmlformats.org/spreadsheetml/2006/main" count="95" uniqueCount="93">
  <si>
    <t>Resource ID</t>
  </si>
  <si>
    <t>OpNum</t>
  </si>
  <si>
    <t>C107</t>
  </si>
  <si>
    <t>C111</t>
  </si>
  <si>
    <t>C112</t>
  </si>
  <si>
    <t>CG101</t>
  </si>
  <si>
    <t>CG102</t>
  </si>
  <si>
    <t>CG103</t>
  </si>
  <si>
    <t>CS101</t>
  </si>
  <si>
    <t>DEB109</t>
  </si>
  <si>
    <t>EDM102</t>
  </si>
  <si>
    <t>Grind</t>
  </si>
  <si>
    <t>H103</t>
  </si>
  <si>
    <t>H104</t>
  </si>
  <si>
    <t>IDLE</t>
  </si>
  <si>
    <t>INSPECT</t>
  </si>
  <si>
    <t>INSPFIN</t>
  </si>
  <si>
    <t>M108</t>
  </si>
  <si>
    <t>2016-07-05</t>
  </si>
  <si>
    <t>P</t>
  </si>
  <si>
    <t>M116</t>
  </si>
  <si>
    <t>M117</t>
  </si>
  <si>
    <t>M122</t>
  </si>
  <si>
    <t>M123</t>
  </si>
  <si>
    <t>M124</t>
  </si>
  <si>
    <t>M125</t>
  </si>
  <si>
    <t>M203</t>
  </si>
  <si>
    <t>PM105</t>
  </si>
  <si>
    <t>PM106</t>
  </si>
  <si>
    <t>PM107</t>
  </si>
  <si>
    <t>S107</t>
  </si>
  <si>
    <t>S108</t>
  </si>
  <si>
    <t>SG100</t>
  </si>
  <si>
    <t>SG104</t>
  </si>
  <si>
    <t>SG105</t>
  </si>
  <si>
    <t>SG106</t>
  </si>
  <si>
    <t>SM101</t>
  </si>
  <si>
    <t>SM102</t>
  </si>
  <si>
    <t>SM103</t>
  </si>
  <si>
    <t>SM104</t>
  </si>
  <si>
    <t>SM105</t>
  </si>
  <si>
    <t>SM106</t>
  </si>
  <si>
    <t>SM111</t>
  </si>
  <si>
    <t>SM113</t>
  </si>
  <si>
    <t>SM114</t>
  </si>
  <si>
    <t>SW135</t>
  </si>
  <si>
    <t>SW136</t>
  </si>
  <si>
    <t>T128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</si>
  <si>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</si>
  <si>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</si>
  <si>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</si>
  <si>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</si>
  <si>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</si>
  <si>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</si>
  <si>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</si>
  <si>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</si>
  <si>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</si>
  <si>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</si>
  <si>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</si>
  <si>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T155</t>
  </si>
  <si>
    <t>T156</t>
  </si>
  <si>
    <t>T157</t>
  </si>
  <si>
    <t>T158</t>
  </si>
  <si>
    <t>020334</t>
  </si>
  <si>
    <t>1709M39P52</t>
  </si>
  <si>
    <t>2016-05-24</t>
  </si>
  <si>
    <t>Tan</t>
  </si>
  <si>
    <t>Hardinge HC Chucker</t>
  </si>
  <si>
    <t>T159</t>
  </si>
  <si>
    <t>T160</t>
  </si>
  <si>
    <t>T161</t>
  </si>
  <si>
    <t>T162</t>
  </si>
  <si>
    <t>T163</t>
  </si>
  <si>
    <t>Raymond</t>
  </si>
  <si>
    <t>Omniturn GT-75</t>
  </si>
  <si>
    <t>ProducedToday</t>
  </si>
  <si>
    <t>PercentComplete</t>
  </si>
  <si>
    <t>PercentToday</t>
  </si>
  <si>
    <t>TimeElapsed</t>
  </si>
  <si>
    <t>JobNum</t>
  </si>
  <si>
    <t>PartNum</t>
  </si>
  <si>
    <t>ReqDueDate</t>
  </si>
  <si>
    <t>ClockInDate</t>
  </si>
  <si>
    <t>ResourceDescription</t>
  </si>
  <si>
    <t>ClockinTime</t>
  </si>
  <si>
    <t>LaborType</t>
  </si>
  <si>
    <t>ProdStandard</t>
  </si>
  <si>
    <t>TotalLabor</t>
  </si>
  <si>
    <t>020246</t>
  </si>
  <si>
    <t>5126T38P01</t>
  </si>
  <si>
    <t>2016-06-23</t>
  </si>
  <si>
    <t>ProdQty</t>
  </si>
  <si>
    <t>Employee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</si>
</sst>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[h]:mm:ss;@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1" applyNumberFormat="1" applyFont="1" applyAlignment="1">
      <alignment horizontal="center" vertical="center"/>
    </xf>
  </cellXfs>
  <cellStyles count="2">
    <cellStyle name="Normal" xfId="0" builtinId="0"/>
    <cellStyle name="Percent" xfId="1" builtinId="5"/>
  </cellStyles>
  <dxfs count="19"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[$-F400]h:mm:ss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29</xdr:col>
      <xdr:colOff>95250</xdr:colOff>
      <xdr:row>45</xdr:row>
      <xdr:rowOff>0</xdr:rowOff>
    </xdr:to>
    <xdr:pic>
      <xdr:nvPicPr>
        <xdr:cNvPr id="3" name="First Floor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688485" cy="8639735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>
    <xdr:from>
      <xdr:col>17</xdr:col>
      <xdr:colOff>381000</xdr:colOff>
      <xdr:row>3</xdr:row>
      <xdr:rowOff>142875</xdr:rowOff>
    </xdr:from>
    <xdr:to>
      <xdr:col>21</xdr:col>
      <xdr:colOff>333375</xdr:colOff>
      <xdr:row>7</xdr:row>
      <xdr:rowOff>142594</xdr:rowOff>
    </xdr:to>
    <xdr:grpSp>
      <xdr:nvGrpSpPr>
        <xdr:cNvPr id="4" name="SM102"/>
        <xdr:cNvGrpSpPr/>
      </xdr:nvGrpSpPr>
      <xdr:grpSpPr>
        <a:xfrm>
          <a:off x="10944225" y="714375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5" name="JobNum_SM102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" name="ReqQty_SM102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7" name="Info_SM102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8" name="Status_SM102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Progress_SM102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0" name="Image_SM102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7</xdr:col>
      <xdr:colOff>66675</xdr:colOff>
      <xdr:row>28</xdr:row>
      <xdr:rowOff>86005</xdr:rowOff>
    </xdr:from>
    <xdr:to>
      <xdr:col>11</xdr:col>
      <xdr:colOff>114299</xdr:colOff>
      <xdr:row>32</xdr:row>
      <xdr:rowOff>142874</xdr:rowOff>
    </xdr:to>
    <xdr:grpSp>
      <xdr:nvGrpSpPr>
        <xdr:cNvPr id="11" name="T148"/>
        <xdr:cNvGrpSpPr/>
      </xdr:nvGrpSpPr>
      <xdr:grpSpPr>
        <a:xfrm>
          <a:off x="4533900" y="5420005"/>
          <a:ext cx="2486024" cy="818869"/>
          <a:chOff x="1371600" y="5296180"/>
          <a:chExt cx="2486024" cy="818869"/>
        </a:xfrm>
        <a:scene3d>
          <a:camera prst="orthographicFront">
            <a:rot lat="3000000" lon="0" rev="0"/>
          </a:camera>
          <a:lightRig rig="threePt" dir="t"/>
        </a:scene3d>
      </xdr:grpSpPr>
      <xdr:sp macro="" textlink="">
        <xdr:nvSpPr>
          <xdr:cNvPr id="12" name="JobNum_T148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3" name="ReqQty_T148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4" name="Info_T148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5" name="Status_T148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rogress_T148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7" name="Image_T148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2</xdr:col>
      <xdr:colOff>104775</xdr:colOff>
      <xdr:row>28</xdr:row>
      <xdr:rowOff>114580</xdr:rowOff>
    </xdr:from>
    <xdr:to>
      <xdr:col>6</xdr:col>
      <xdr:colOff>152399</xdr:colOff>
      <xdr:row>32</xdr:row>
      <xdr:rowOff>171449</xdr:rowOff>
    </xdr:to>
    <xdr:grpSp>
      <xdr:nvGrpSpPr>
        <xdr:cNvPr id="18" name="T149"/>
        <xdr:cNvGrpSpPr/>
      </xdr:nvGrpSpPr>
      <xdr:grpSpPr>
        <a:xfrm>
          <a:off x="1524000" y="5448580"/>
          <a:ext cx="2486024" cy="818869"/>
          <a:chOff x="1371600" y="5296180"/>
          <a:chExt cx="2486024" cy="818869"/>
        </a:xfrm>
        <a:scene3d>
          <a:camera prst="orthographicFront">
            <a:rot lat="3000000" lon="0" rev="0"/>
          </a:camera>
          <a:lightRig rig="threePt" dir="t"/>
        </a:scene3d>
      </xdr:grpSpPr>
      <xdr:sp macro="" textlink="">
        <xdr:nvSpPr>
          <xdr:cNvPr id="19" name="JobNum_T149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20" name="ReqQty_T149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21" name="Info_T149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22" name="Status_T149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" name="Progress_T149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24" name="Image_T149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11</xdr:col>
      <xdr:colOff>571500</xdr:colOff>
      <xdr:row>29</xdr:row>
      <xdr:rowOff>38380</xdr:rowOff>
    </xdr:from>
    <xdr:to>
      <xdr:col>16</xdr:col>
      <xdr:colOff>9524</xdr:colOff>
      <xdr:row>33</xdr:row>
      <xdr:rowOff>95249</xdr:rowOff>
    </xdr:to>
    <xdr:grpSp>
      <xdr:nvGrpSpPr>
        <xdr:cNvPr id="25" name="T147"/>
        <xdr:cNvGrpSpPr/>
      </xdr:nvGrpSpPr>
      <xdr:grpSpPr>
        <a:xfrm>
          <a:off x="7477125" y="5562880"/>
          <a:ext cx="2486024" cy="818869"/>
          <a:chOff x="1371600" y="5296180"/>
          <a:chExt cx="2486024" cy="818869"/>
        </a:xfrm>
        <a:scene3d>
          <a:camera prst="orthographicFront">
            <a:rot lat="2700000" lon="0" rev="0"/>
          </a:camera>
          <a:lightRig rig="threePt" dir="t"/>
        </a:scene3d>
      </xdr:grpSpPr>
      <xdr:sp macro="" textlink="">
        <xdr:nvSpPr>
          <xdr:cNvPr id="26" name="JobNum_T147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27" name="ReqQty_T147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28" name="Info_T147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29" name="Status_T147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Progress_T147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1" name="Image_T147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6</xdr:col>
      <xdr:colOff>247650</xdr:colOff>
      <xdr:row>17</xdr:row>
      <xdr:rowOff>143155</xdr:rowOff>
    </xdr:from>
    <xdr:to>
      <xdr:col>10</xdr:col>
      <xdr:colOff>295274</xdr:colOff>
      <xdr:row>22</xdr:row>
      <xdr:rowOff>9524</xdr:rowOff>
    </xdr:to>
    <xdr:grpSp>
      <xdr:nvGrpSpPr>
        <xdr:cNvPr id="32" name="T145"/>
        <xdr:cNvGrpSpPr/>
      </xdr:nvGrpSpPr>
      <xdr:grpSpPr>
        <a:xfrm>
          <a:off x="4105275" y="3381655"/>
          <a:ext cx="2486024" cy="818869"/>
          <a:chOff x="1371600" y="5296180"/>
          <a:chExt cx="2486024" cy="818869"/>
        </a:xfrm>
      </xdr:grpSpPr>
      <xdr:sp macro="" textlink="">
        <xdr:nvSpPr>
          <xdr:cNvPr id="33" name="JobNum_T145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34" name="ReqQty_T145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35" name="Info_T145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36" name="Status_T145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Progress_T145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38" name="Image_T145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18</xdr:col>
      <xdr:colOff>542925</xdr:colOff>
      <xdr:row>16</xdr:row>
      <xdr:rowOff>171730</xdr:rowOff>
    </xdr:from>
    <xdr:to>
      <xdr:col>22</xdr:col>
      <xdr:colOff>590549</xdr:colOff>
      <xdr:row>21</xdr:row>
      <xdr:rowOff>38099</xdr:rowOff>
    </xdr:to>
    <xdr:grpSp>
      <xdr:nvGrpSpPr>
        <xdr:cNvPr id="39" name="SW136"/>
        <xdr:cNvGrpSpPr/>
      </xdr:nvGrpSpPr>
      <xdr:grpSpPr>
        <a:xfrm>
          <a:off x="11715750" y="3219730"/>
          <a:ext cx="2486024" cy="818869"/>
          <a:chOff x="1371600" y="5296180"/>
          <a:chExt cx="2486024" cy="818869"/>
        </a:xfrm>
      </xdr:grpSpPr>
      <xdr:sp macro="" textlink="">
        <xdr:nvSpPr>
          <xdr:cNvPr id="40" name="JobNum_SW136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41" name="ReqQty_SW136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42" name="Info_SW136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43" name="Status_SW136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4" name="Progress_SW136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45" name="Image_SW136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12</xdr:col>
      <xdr:colOff>266700</xdr:colOff>
      <xdr:row>20</xdr:row>
      <xdr:rowOff>104775</xdr:rowOff>
    </xdr:from>
    <xdr:to>
      <xdr:col>16</xdr:col>
      <xdr:colOff>219075</xdr:colOff>
      <xdr:row>24</xdr:row>
      <xdr:rowOff>104774</xdr:rowOff>
    </xdr:to>
    <xdr:grpSp>
      <xdr:nvGrpSpPr>
        <xdr:cNvPr id="46" name="T146"/>
        <xdr:cNvGrpSpPr/>
      </xdr:nvGrpSpPr>
      <xdr:grpSpPr>
        <a:xfrm>
          <a:off x="7781925" y="3914775"/>
          <a:ext cx="2390775" cy="761999"/>
          <a:chOff x="1371600" y="5296180"/>
          <a:chExt cx="2486024" cy="818869"/>
        </a:xfrm>
      </xdr:grpSpPr>
      <xdr:sp macro="" textlink="">
        <xdr:nvSpPr>
          <xdr:cNvPr id="47" name="JobNum_T146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48" name="ReqQty_T146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49" name="Info_T146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8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8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50" name="Status_T146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1" name="Progress_T146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2" name="Image_T146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0</xdr:col>
      <xdr:colOff>0</xdr:colOff>
      <xdr:row>22</xdr:row>
      <xdr:rowOff>133630</xdr:rowOff>
    </xdr:from>
    <xdr:to>
      <xdr:col>3</xdr:col>
      <xdr:colOff>457199</xdr:colOff>
      <xdr:row>26</xdr:row>
      <xdr:rowOff>190499</xdr:rowOff>
    </xdr:to>
    <xdr:grpSp>
      <xdr:nvGrpSpPr>
        <xdr:cNvPr id="53" name="T128"/>
        <xdr:cNvGrpSpPr/>
      </xdr:nvGrpSpPr>
      <xdr:grpSpPr>
        <a:xfrm>
          <a:off x="0" y="4324630"/>
          <a:ext cx="2486024" cy="818869"/>
          <a:chOff x="1371600" y="5296180"/>
          <a:chExt cx="2486024" cy="818869"/>
        </a:xfrm>
      </xdr:grpSpPr>
      <xdr:sp macro="" textlink="">
        <xdr:nvSpPr>
          <xdr:cNvPr id="54" name="JobNum_T128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55" name="ReqQty_T128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56" name="Info_T128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57" name="Status_T128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Progress_T128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59" name="Image_T128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8</xdr:col>
      <xdr:colOff>38100</xdr:colOff>
      <xdr:row>12</xdr:row>
      <xdr:rowOff>47625</xdr:rowOff>
    </xdr:from>
    <xdr:to>
      <xdr:col>12</xdr:col>
      <xdr:colOff>85724</xdr:colOff>
      <xdr:row>16</xdr:row>
      <xdr:rowOff>104494</xdr:rowOff>
    </xdr:to>
    <xdr:grpSp>
      <xdr:nvGrpSpPr>
        <xdr:cNvPr id="60" name="T144"/>
        <xdr:cNvGrpSpPr/>
      </xdr:nvGrpSpPr>
      <xdr:grpSpPr>
        <a:xfrm>
          <a:off x="5114925" y="2333625"/>
          <a:ext cx="2486024" cy="818869"/>
          <a:chOff x="1371600" y="5296180"/>
          <a:chExt cx="2486024" cy="818869"/>
        </a:xfrm>
        <a:scene3d>
          <a:camera prst="perspectiveBelow">
            <a:rot lat="2100000" lon="60000" rev="0"/>
          </a:camera>
          <a:lightRig rig="threePt" dir="t"/>
        </a:scene3d>
      </xdr:grpSpPr>
      <xdr:sp macro="" textlink="">
        <xdr:nvSpPr>
          <xdr:cNvPr id="61" name="JobNum_T144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2" name="ReqQty_T144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3" name="Info_T144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64" name="Status_T144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5" name="Progress_T144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66" name="Image_T144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16</xdr:col>
      <xdr:colOff>381000</xdr:colOff>
      <xdr:row>29</xdr:row>
      <xdr:rowOff>133630</xdr:rowOff>
    </xdr:from>
    <xdr:to>
      <xdr:col>20</xdr:col>
      <xdr:colOff>428624</xdr:colOff>
      <xdr:row>33</xdr:row>
      <xdr:rowOff>190499</xdr:rowOff>
    </xdr:to>
    <xdr:grpSp>
      <xdr:nvGrpSpPr>
        <xdr:cNvPr id="67" name="M117"/>
        <xdr:cNvGrpSpPr/>
      </xdr:nvGrpSpPr>
      <xdr:grpSpPr>
        <a:xfrm>
          <a:off x="10334625" y="5658130"/>
          <a:ext cx="2486024" cy="818869"/>
          <a:chOff x="1371600" y="5296180"/>
          <a:chExt cx="2486024" cy="818869"/>
        </a:xfrm>
        <a:scene3d>
          <a:camera prst="orthographicFront">
            <a:rot lat="3000000" lon="60000" rev="0"/>
          </a:camera>
          <a:lightRig rig="threePt" dir="t"/>
        </a:scene3d>
      </xdr:grpSpPr>
      <xdr:sp macro="" textlink="">
        <xdr:nvSpPr>
          <xdr:cNvPr id="68" name="JobNum_M117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69" name="ReqQty_M117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70" name="Info_M117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71" name="Status_M117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2" name="Progress_M117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73" name="Image_M117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20</xdr:col>
      <xdr:colOff>457200</xdr:colOff>
      <xdr:row>30</xdr:row>
      <xdr:rowOff>143155</xdr:rowOff>
    </xdr:from>
    <xdr:to>
      <xdr:col>24</xdr:col>
      <xdr:colOff>504824</xdr:colOff>
      <xdr:row>35</xdr:row>
      <xdr:rowOff>9524</xdr:rowOff>
    </xdr:to>
    <xdr:grpSp>
      <xdr:nvGrpSpPr>
        <xdr:cNvPr id="74" name="M116"/>
        <xdr:cNvGrpSpPr/>
      </xdr:nvGrpSpPr>
      <xdr:grpSpPr>
        <a:xfrm>
          <a:off x="12849225" y="5858155"/>
          <a:ext cx="2486024" cy="818869"/>
          <a:chOff x="1371600" y="5296180"/>
          <a:chExt cx="2486024" cy="818869"/>
        </a:xfrm>
        <a:scene3d>
          <a:camera prst="orthographicFront">
            <a:rot lat="3000000" lon="60000" rev="0"/>
          </a:camera>
          <a:lightRig rig="threePt" dir="t"/>
        </a:scene3d>
      </xdr:grpSpPr>
      <xdr:sp macro="" textlink="">
        <xdr:nvSpPr>
          <xdr:cNvPr id="75" name="JobNum_M116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76" name="ReqQty_M116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77" name="Info_M116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78" name="Status_M116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9" name="Progress_M116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80" name="Image_M116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0</xdr:col>
      <xdr:colOff>180975</xdr:colOff>
      <xdr:row>8</xdr:row>
      <xdr:rowOff>66675</xdr:rowOff>
    </xdr:from>
    <xdr:to>
      <xdr:col>4</xdr:col>
      <xdr:colOff>28574</xdr:colOff>
      <xdr:row>12</xdr:row>
      <xdr:rowOff>123544</xdr:rowOff>
    </xdr:to>
    <xdr:grpSp>
      <xdr:nvGrpSpPr>
        <xdr:cNvPr id="81" name="T152"/>
        <xdr:cNvGrpSpPr/>
      </xdr:nvGrpSpPr>
      <xdr:grpSpPr>
        <a:xfrm>
          <a:off x="180975" y="1590675"/>
          <a:ext cx="2486024" cy="818869"/>
          <a:chOff x="1371600" y="5296180"/>
          <a:chExt cx="2486024" cy="818869"/>
        </a:xfrm>
      </xdr:grpSpPr>
      <xdr:sp macro="" textlink="">
        <xdr:nvSpPr>
          <xdr:cNvPr id="82" name="JobNum_T152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020246</a:t>
            </a:r>
          </a:p>
        </xdr:txBody>
      </xdr:sp>
      <xdr:sp macro="" textlink="">
        <xdr:nvSpPr>
          <xdr:cNvPr id="83" name="ReqQty_T152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1576</a:t>
            </a:r>
          </a:p>
        </xdr:txBody>
      </xdr:sp>
      <xdr:sp macro="" textlink="">
        <xdr:nvSpPr>
          <xdr:cNvPr id="84" name="Info_T152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5126T38P01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Raymond</a:t>
            </a:r>
          </a:p>
        </xdr:txBody>
      </xdr:sp>
      <xdr:sp macro="" textlink="">
        <xdr:nvSpPr>
          <xdr:cNvPr id="85" name="Status_T152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00B05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6" name="Progress_T152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  <a:gs pos="0">
                <a:srgbClr val="00FF00"/>
              </a:gs>
              <a:gs pos="14911">
                <a:srgbClr val="00FF00"/>
              </a:gs>
              <a:gs pos="15911">
                <a:srgbClr val="9B9B9B"/>
              </a:gs>
              <a:gs pos="24810">
                <a:srgbClr val="9B9B9B"/>
              </a:gs>
              <a:gs pos="25810">
                <a:srgbClr val="FFFFFF"/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i="0">
                <a:solidFill>
                  <a:schemeClr val="tx1"/>
                </a:solidFill>
                <a:latin typeface="Franklin Gothic Book" panose="020B0503020102020204" pitchFamily="34" charset="0"/>
                <a:cs typeface="Aharoni" panose="02010803020104030203" pitchFamily="2" charset="-79"/>
              </a:rPr>
              <a:t>8 Hours Left</a:t>
            </a:r>
          </a:p>
        </xdr:txBody>
      </xdr:sp>
      <xdr:sp macro="" textlink="">
        <xdr:nvSpPr>
          <xdr:cNvPr id="87" name="Image_T152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No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Image</a:t>
            </a:r>
          </a:p>
        </xdr:txBody>
      </xdr:sp>
    </xdr:grpSp>
    <xdr:clientData/>
  </xdr:twoCellAnchor>
  <xdr:twoCellAnchor>
    <xdr:from>
      <xdr:col>2</xdr:col>
      <xdr:colOff>285750</xdr:colOff>
      <xdr:row>13</xdr:row>
      <xdr:rowOff>0</xdr:rowOff>
    </xdr:from>
    <xdr:to>
      <xdr:col>6</xdr:col>
      <xdr:colOff>333374</xdr:colOff>
      <xdr:row>17</xdr:row>
      <xdr:rowOff>56869</xdr:rowOff>
    </xdr:to>
    <xdr:grpSp>
      <xdr:nvGrpSpPr>
        <xdr:cNvPr id="88" name="T143"/>
        <xdr:cNvGrpSpPr/>
      </xdr:nvGrpSpPr>
      <xdr:grpSpPr>
        <a:xfrm>
          <a:off x="1704975" y="2476500"/>
          <a:ext cx="2486024" cy="818869"/>
          <a:chOff x="1371600" y="5296180"/>
          <a:chExt cx="2486024" cy="818869"/>
        </a:xfrm>
      </xdr:grpSpPr>
      <xdr:sp macro="" textlink="">
        <xdr:nvSpPr>
          <xdr:cNvPr id="89" name="JobNum_T143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90" name="ReqQty_T143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91" name="Info_T143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92" name="Status_T143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3" name="Progress_T143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94" name="Image_T143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24</xdr:col>
      <xdr:colOff>495300</xdr:colOff>
      <xdr:row>29</xdr:row>
      <xdr:rowOff>161925</xdr:rowOff>
    </xdr:from>
    <xdr:to>
      <xdr:col>29</xdr:col>
      <xdr:colOff>95249</xdr:colOff>
      <xdr:row>34</xdr:row>
      <xdr:rowOff>28294</xdr:rowOff>
    </xdr:to>
    <xdr:grpSp>
      <xdr:nvGrpSpPr>
        <xdr:cNvPr id="95" name="M108"/>
        <xdr:cNvGrpSpPr/>
      </xdr:nvGrpSpPr>
      <xdr:grpSpPr>
        <a:xfrm>
          <a:off x="15325725" y="5686425"/>
          <a:ext cx="2486024" cy="818869"/>
          <a:chOff x="1371600" y="5296180"/>
          <a:chExt cx="2486024" cy="818869"/>
        </a:xfrm>
      </xdr:grpSpPr>
      <xdr:sp macro="" textlink="">
        <xdr:nvSpPr>
          <xdr:cNvPr id="96" name="JobNum_M108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97" name="ReqQty_M108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98" name="Info_M108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99" name="Status_M108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0" name="Progress_M108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01" name="Image_M108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21</xdr:col>
      <xdr:colOff>514350</xdr:colOff>
      <xdr:row>6</xdr:row>
      <xdr:rowOff>19050</xdr:rowOff>
    </xdr:from>
    <xdr:to>
      <xdr:col>25</xdr:col>
      <xdr:colOff>561974</xdr:colOff>
      <xdr:row>10</xdr:row>
      <xdr:rowOff>75919</xdr:rowOff>
    </xdr:to>
    <xdr:grpSp>
      <xdr:nvGrpSpPr>
        <xdr:cNvPr id="102" name="SW135"/>
        <xdr:cNvGrpSpPr/>
      </xdr:nvGrpSpPr>
      <xdr:grpSpPr>
        <a:xfrm>
          <a:off x="13515975" y="1162050"/>
          <a:ext cx="2486024" cy="818869"/>
          <a:chOff x="1371600" y="5296180"/>
          <a:chExt cx="2486024" cy="818869"/>
        </a:xfrm>
      </xdr:grpSpPr>
      <xdr:sp macro="" textlink="">
        <xdr:nvSpPr>
          <xdr:cNvPr id="103" name="JobNum_SW135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04" name="ReqQty_SW135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05" name="Info_SW135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06" name="Status_SW135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7" name="Progress_SW135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08" name="Image_SW135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24</xdr:col>
      <xdr:colOff>333375</xdr:colOff>
      <xdr:row>13</xdr:row>
      <xdr:rowOff>133350</xdr:rowOff>
    </xdr:from>
    <xdr:to>
      <xdr:col>28</xdr:col>
      <xdr:colOff>380999</xdr:colOff>
      <xdr:row>17</xdr:row>
      <xdr:rowOff>190219</xdr:rowOff>
    </xdr:to>
    <xdr:grpSp>
      <xdr:nvGrpSpPr>
        <xdr:cNvPr id="109" name="CS101"/>
        <xdr:cNvGrpSpPr/>
      </xdr:nvGrpSpPr>
      <xdr:grpSpPr>
        <a:xfrm>
          <a:off x="15163800" y="2609850"/>
          <a:ext cx="2486024" cy="818869"/>
          <a:chOff x="1371600" y="5296180"/>
          <a:chExt cx="2486024" cy="818869"/>
        </a:xfrm>
      </xdr:grpSpPr>
      <xdr:sp macro="" textlink="">
        <xdr:nvSpPr>
          <xdr:cNvPr id="110" name="JobNum_CS101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11" name="ReqQty_CS101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12" name="Info_CS101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13" name="Status_CS101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4" name="Progress_CS101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15" name="Image_CS101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16</xdr:col>
      <xdr:colOff>561975</xdr:colOff>
      <xdr:row>39</xdr:row>
      <xdr:rowOff>133350</xdr:rowOff>
    </xdr:from>
    <xdr:to>
      <xdr:col>20</xdr:col>
      <xdr:colOff>609599</xdr:colOff>
      <xdr:row>43</xdr:row>
      <xdr:rowOff>190219</xdr:rowOff>
    </xdr:to>
    <xdr:grpSp>
      <xdr:nvGrpSpPr>
        <xdr:cNvPr id="116" name="C111"/>
        <xdr:cNvGrpSpPr/>
      </xdr:nvGrpSpPr>
      <xdr:grpSpPr>
        <a:xfrm>
          <a:off x="10515600" y="7562850"/>
          <a:ext cx="2486024" cy="818869"/>
          <a:chOff x="1371600" y="5296180"/>
          <a:chExt cx="2486024" cy="818869"/>
        </a:xfrm>
      </xdr:grpSpPr>
      <xdr:sp macro="" textlink="">
        <xdr:nvSpPr>
          <xdr:cNvPr id="117" name="JobNum_C111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18" name="ReqQty_C111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19" name="Info_C111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20" name="Status_C111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1" name="Progress_C111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22" name="Image_C111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17</xdr:col>
      <xdr:colOff>428625</xdr:colOff>
      <xdr:row>8</xdr:row>
      <xdr:rowOff>161925</xdr:rowOff>
    </xdr:from>
    <xdr:to>
      <xdr:col>21</xdr:col>
      <xdr:colOff>381000</xdr:colOff>
      <xdr:row>12</xdr:row>
      <xdr:rowOff>161644</xdr:rowOff>
    </xdr:to>
    <xdr:grpSp>
      <xdr:nvGrpSpPr>
        <xdr:cNvPr id="123" name="SM111"/>
        <xdr:cNvGrpSpPr/>
      </xdr:nvGrpSpPr>
      <xdr:grpSpPr>
        <a:xfrm>
          <a:off x="10991850" y="1685925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24" name="JobNum_SM111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25" name="ReqQty_SM111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26" name="Info_SM111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27" name="Status_SM111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8" name="Progress_SM111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29" name="Image_SM111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4</xdr:col>
      <xdr:colOff>485775</xdr:colOff>
      <xdr:row>3</xdr:row>
      <xdr:rowOff>180975</xdr:rowOff>
    </xdr:from>
    <xdr:to>
      <xdr:col>8</xdr:col>
      <xdr:colOff>438150</xdr:colOff>
      <xdr:row>7</xdr:row>
      <xdr:rowOff>180694</xdr:rowOff>
    </xdr:to>
    <xdr:grpSp>
      <xdr:nvGrpSpPr>
        <xdr:cNvPr id="130" name="SM101"/>
        <xdr:cNvGrpSpPr/>
      </xdr:nvGrpSpPr>
      <xdr:grpSpPr>
        <a:xfrm>
          <a:off x="3124200" y="752475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31" name="JobNum_SM101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32" name="ReqQty_SM101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33" name="Info_SM101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34" name="Status_SM101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Progress_SM101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36" name="Image_SM101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14</xdr:col>
      <xdr:colOff>428625</xdr:colOff>
      <xdr:row>3</xdr:row>
      <xdr:rowOff>142875</xdr:rowOff>
    </xdr:from>
    <xdr:to>
      <xdr:col>18</xdr:col>
      <xdr:colOff>381000</xdr:colOff>
      <xdr:row>7</xdr:row>
      <xdr:rowOff>142594</xdr:rowOff>
    </xdr:to>
    <xdr:grpSp>
      <xdr:nvGrpSpPr>
        <xdr:cNvPr id="137" name="SM104"/>
        <xdr:cNvGrpSpPr/>
      </xdr:nvGrpSpPr>
      <xdr:grpSpPr>
        <a:xfrm>
          <a:off x="9163050" y="714375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38" name="JobNum_SM104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39" name="ReqQty_SM104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40" name="Info_SM104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41" name="Status_SM104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2" name="Progress_SM104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43" name="Image_SM104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8</xdr:col>
      <xdr:colOff>447675</xdr:colOff>
      <xdr:row>4</xdr:row>
      <xdr:rowOff>47625</xdr:rowOff>
    </xdr:from>
    <xdr:to>
      <xdr:col>12</xdr:col>
      <xdr:colOff>400050</xdr:colOff>
      <xdr:row>8</xdr:row>
      <xdr:rowOff>47344</xdr:rowOff>
    </xdr:to>
    <xdr:grpSp>
      <xdr:nvGrpSpPr>
        <xdr:cNvPr id="144" name="SM105"/>
        <xdr:cNvGrpSpPr/>
      </xdr:nvGrpSpPr>
      <xdr:grpSpPr>
        <a:xfrm>
          <a:off x="5524500" y="809625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45" name="JobNum_SM105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46" name="ReqQty_SM105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47" name="Info_SM105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48" name="Status_SM105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9" name="Progress_SM105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50" name="Image_SM105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12</xdr:col>
      <xdr:colOff>9525</xdr:colOff>
      <xdr:row>4</xdr:row>
      <xdr:rowOff>76200</xdr:rowOff>
    </xdr:from>
    <xdr:to>
      <xdr:col>15</xdr:col>
      <xdr:colOff>571500</xdr:colOff>
      <xdr:row>8</xdr:row>
      <xdr:rowOff>75919</xdr:rowOff>
    </xdr:to>
    <xdr:grpSp>
      <xdr:nvGrpSpPr>
        <xdr:cNvPr id="151" name="SM103"/>
        <xdr:cNvGrpSpPr/>
      </xdr:nvGrpSpPr>
      <xdr:grpSpPr>
        <a:xfrm>
          <a:off x="7524750" y="838200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52" name="JobNum_SM103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53" name="ReqQty_SM103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54" name="Info_SM103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55" name="Status_SM103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6" name="Progress_SM103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57" name="Image_SM103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15</xdr:col>
      <xdr:colOff>342900</xdr:colOff>
      <xdr:row>10</xdr:row>
      <xdr:rowOff>76200</xdr:rowOff>
    </xdr:from>
    <xdr:to>
      <xdr:col>19</xdr:col>
      <xdr:colOff>295275</xdr:colOff>
      <xdr:row>14</xdr:row>
      <xdr:rowOff>75919</xdr:rowOff>
    </xdr:to>
    <xdr:grpSp>
      <xdr:nvGrpSpPr>
        <xdr:cNvPr id="158" name="SM114"/>
        <xdr:cNvGrpSpPr/>
      </xdr:nvGrpSpPr>
      <xdr:grpSpPr>
        <a:xfrm>
          <a:off x="9686925" y="1981200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59" name="JobNum_SM114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60" name="ReqQty_SM114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61" name="Info_SM114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62" name="Status_SM114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3" name="Progress_SM114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64" name="Image_SM114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12</xdr:col>
      <xdr:colOff>504825</xdr:colOff>
      <xdr:row>11</xdr:row>
      <xdr:rowOff>114300</xdr:rowOff>
    </xdr:from>
    <xdr:to>
      <xdr:col>16</xdr:col>
      <xdr:colOff>457200</xdr:colOff>
      <xdr:row>15</xdr:row>
      <xdr:rowOff>114019</xdr:rowOff>
    </xdr:to>
    <xdr:grpSp>
      <xdr:nvGrpSpPr>
        <xdr:cNvPr id="165" name="SM108"/>
        <xdr:cNvGrpSpPr/>
      </xdr:nvGrpSpPr>
      <xdr:grpSpPr>
        <a:xfrm>
          <a:off x="8020050" y="2209800"/>
          <a:ext cx="2390775" cy="761719"/>
          <a:chOff x="1371600" y="5296180"/>
          <a:chExt cx="2486024" cy="818869"/>
        </a:xfrm>
        <a:scene3d>
          <a:camera prst="perspectiveBelow" fov="3300000">
            <a:rot lat="2700000" lon="1200000" rev="0"/>
          </a:camera>
          <a:lightRig rig="threePt" dir="t"/>
        </a:scene3d>
      </xdr:grpSpPr>
      <xdr:sp macro="" textlink="">
        <xdr:nvSpPr>
          <xdr:cNvPr id="166" name="JobNum_SM108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67" name="ReqQty_SM108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68" name="Info_SM108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69" name="Status_SM108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0" name="Progress_SM108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71" name="Image_SM108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  <a:p>
            <a:pPr algn="ctr"/>
            <a:r>
              <a:rPr lang="en-US" sz="1100" b="1">
                <a:solidFill>
                  <a:schemeClr val="tx1"/>
                </a:solidFill>
              </a:rPr>
              <a:t>Machine</a:t>
            </a:r>
          </a:p>
        </xdr:txBody>
      </xdr:sp>
    </xdr:grpSp>
    <xdr:clientData/>
  </xdr:twoCellAnchor>
  <xdr:twoCellAnchor>
    <xdr:from>
      <xdr:col>4</xdr:col>
      <xdr:colOff>424704</xdr:colOff>
      <xdr:row>57</xdr:row>
      <xdr:rowOff>162486</xdr:rowOff>
    </xdr:from>
    <xdr:to>
      <xdr:col>8</xdr:col>
      <xdr:colOff>416860</xdr:colOff>
      <xdr:row>62</xdr:row>
      <xdr:rowOff>9805</xdr:rowOff>
    </xdr:to>
    <xdr:grpSp>
      <xdr:nvGrpSpPr>
        <xdr:cNvPr id="186" name="C107"/>
        <xdr:cNvGrpSpPr/>
      </xdr:nvGrpSpPr>
      <xdr:grpSpPr>
        <a:xfrm>
          <a:off x="3063129" y="11087661"/>
          <a:ext cx="2430556" cy="799819"/>
          <a:chOff x="1371600" y="5296180"/>
          <a:chExt cx="2486024" cy="818869"/>
        </a:xfrm>
      </xdr:grpSpPr>
      <xdr:sp macro="" textlink="">
        <xdr:nvSpPr>
          <xdr:cNvPr id="187" name="JobNum_C107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88" name="ReqQty_C107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89" name="Info_C107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90" name="Status_C107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1" name="Progress_C107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92" name="Image_C107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  <xdr:twoCellAnchor>
    <xdr:from>
      <xdr:col>2</xdr:col>
      <xdr:colOff>423583</xdr:colOff>
      <xdr:row>53</xdr:row>
      <xdr:rowOff>133911</xdr:rowOff>
    </xdr:from>
    <xdr:to>
      <xdr:col>6</xdr:col>
      <xdr:colOff>492498</xdr:colOff>
      <xdr:row>58</xdr:row>
      <xdr:rowOff>280</xdr:rowOff>
    </xdr:to>
    <xdr:grpSp>
      <xdr:nvGrpSpPr>
        <xdr:cNvPr id="193" name="C112"/>
        <xdr:cNvGrpSpPr/>
      </xdr:nvGrpSpPr>
      <xdr:grpSpPr>
        <a:xfrm>
          <a:off x="1842808" y="10297086"/>
          <a:ext cx="2507315" cy="818869"/>
          <a:chOff x="1371600" y="5296180"/>
          <a:chExt cx="2486024" cy="818869"/>
        </a:xfrm>
      </xdr:grpSpPr>
      <xdr:sp macro="" textlink="">
        <xdr:nvSpPr>
          <xdr:cNvPr id="194" name="JobNum_C112"/>
          <xdr:cNvSpPr/>
        </xdr:nvSpPr>
        <xdr:spPr>
          <a:xfrm>
            <a:off x="3181349" y="5682066"/>
            <a:ext cx="676275" cy="204383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600" b="1">
                <a:solidFill>
                  <a:sysClr val="windowText" lastClr="000000"/>
                </a:solidFill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95" name="ReqQty_C112"/>
          <xdr:cNvSpPr/>
        </xdr:nvSpPr>
        <xdr:spPr>
          <a:xfrm>
            <a:off x="3190876" y="5895975"/>
            <a:ext cx="638174" cy="190500"/>
          </a:xfrm>
          <a:prstGeom prst="roundRect">
            <a:avLst/>
          </a:prstGeom>
          <a:solidFill>
            <a:schemeClr val="bg2"/>
          </a:solidFill>
          <a:ln>
            <a:solidFill>
              <a:schemeClr val="tx1"/>
            </a:solidFill>
          </a:ln>
          <a:scene3d>
            <a:camera prst="perspectiveBelow" fov="0">
              <a:rot lat="600000" lon="2400000" rev="21594000"/>
            </a:camera>
            <a:lightRig rig="threePt" dir="t"/>
          </a:scene3d>
          <a:sp3d z="12700" extrusionH="76200" contourW="6350">
            <a:bevelB w="0" h="12700"/>
            <a:extrusionClr>
              <a:schemeClr val="bg1"/>
            </a:extrusionClr>
            <a:contourClr>
              <a:schemeClr val="bg2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3d/>
          </a:bodyPr>
          <a:lstStyle/>
          <a:p>
            <a:pPr algn="l"/>
            <a:r>
              <a:rPr lang="en-US" sz="1600" b="1">
                <a:solidFill>
                  <a:srgbClr val="FF0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haroni" panose="02010803020104030203" pitchFamily="2" charset="-79"/>
                <a:cs typeface="Aharoni" panose="02010803020104030203" pitchFamily="2" charset="-79"/>
              </a:rPr>
              <a:t> </a:t>
            </a:r>
          </a:p>
        </xdr:txBody>
      </xdr:sp>
      <xdr:sp macro="" textlink="">
        <xdr:nvSpPr>
          <xdr:cNvPr id="196" name="Info_C112"/>
          <xdr:cNvSpPr/>
        </xdr:nvSpPr>
        <xdr:spPr>
          <a:xfrm>
            <a:off x="1991154" y="5347668"/>
            <a:ext cx="1271975" cy="622580"/>
          </a:xfrm>
          <a:custGeom>
            <a:avLst/>
            <a:gdLst>
              <a:gd name="connsiteX0" fmla="*/ 0 w 2000250"/>
              <a:gd name="connsiteY0" fmla="*/ 71439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0 w 2000250"/>
              <a:gd name="connsiteY8" fmla="*/ 71439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71439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119063 w 2000250"/>
              <a:gd name="connsiteY0" fmla="*/ 130970 h 428625"/>
              <a:gd name="connsiteX1" fmla="*/ 83346 w 2000250"/>
              <a:gd name="connsiteY1" fmla="*/ 0 h 428625"/>
              <a:gd name="connsiteX2" fmla="*/ 1928811 w 2000250"/>
              <a:gd name="connsiteY2" fmla="*/ 0 h 428625"/>
              <a:gd name="connsiteX3" fmla="*/ 2000250 w 2000250"/>
              <a:gd name="connsiteY3" fmla="*/ 71439 h 428625"/>
              <a:gd name="connsiteX4" fmla="*/ 2000250 w 2000250"/>
              <a:gd name="connsiteY4" fmla="*/ 357186 h 428625"/>
              <a:gd name="connsiteX5" fmla="*/ 1928811 w 2000250"/>
              <a:gd name="connsiteY5" fmla="*/ 428625 h 428625"/>
              <a:gd name="connsiteX6" fmla="*/ 71439 w 2000250"/>
              <a:gd name="connsiteY6" fmla="*/ 428625 h 428625"/>
              <a:gd name="connsiteX7" fmla="*/ 0 w 2000250"/>
              <a:gd name="connsiteY7" fmla="*/ 357186 h 428625"/>
              <a:gd name="connsiteX8" fmla="*/ 119063 w 2000250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57472 w 1938659"/>
              <a:gd name="connsiteY8" fmla="*/ 130970 h 428625"/>
              <a:gd name="connsiteX0" fmla="*/ 57472 w 1938659"/>
              <a:gd name="connsiteY0" fmla="*/ 130970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7472 w 1938659"/>
              <a:gd name="connsiteY9" fmla="*/ 130970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59853 w 1938659"/>
              <a:gd name="connsiteY0" fmla="*/ 133352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59853 w 1938659"/>
              <a:gd name="connsiteY9" fmla="*/ 133352 h 428625"/>
              <a:gd name="connsiteX0" fmla="*/ 69378 w 1938659"/>
              <a:gd name="connsiteY0" fmla="*/ 126209 h 428625"/>
              <a:gd name="connsiteX1" fmla="*/ 21755 w 1938659"/>
              <a:gd name="connsiteY1" fmla="*/ 0 h 428625"/>
              <a:gd name="connsiteX2" fmla="*/ 1867220 w 1938659"/>
              <a:gd name="connsiteY2" fmla="*/ 0 h 428625"/>
              <a:gd name="connsiteX3" fmla="*/ 1938659 w 1938659"/>
              <a:gd name="connsiteY3" fmla="*/ 71439 h 428625"/>
              <a:gd name="connsiteX4" fmla="*/ 1938659 w 1938659"/>
              <a:gd name="connsiteY4" fmla="*/ 357186 h 428625"/>
              <a:gd name="connsiteX5" fmla="*/ 1867220 w 1938659"/>
              <a:gd name="connsiteY5" fmla="*/ 428625 h 428625"/>
              <a:gd name="connsiteX6" fmla="*/ 9848 w 1938659"/>
              <a:gd name="connsiteY6" fmla="*/ 428625 h 428625"/>
              <a:gd name="connsiteX7" fmla="*/ 62234 w 1938659"/>
              <a:gd name="connsiteY7" fmla="*/ 297655 h 428625"/>
              <a:gd name="connsiteX8" fmla="*/ 74140 w 1938659"/>
              <a:gd name="connsiteY8" fmla="*/ 178595 h 428625"/>
              <a:gd name="connsiteX9" fmla="*/ 69378 w 1938659"/>
              <a:gd name="connsiteY9" fmla="*/ 126209 h 428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938659" h="428625">
                <a:moveTo>
                  <a:pt x="69378" y="126209"/>
                </a:moveTo>
                <a:cubicBezTo>
                  <a:pt x="50328" y="65323"/>
                  <a:pt x="-17700" y="0"/>
                  <a:pt x="21755" y="0"/>
                </a:cubicBezTo>
                <a:lnTo>
                  <a:pt x="1867220" y="0"/>
                </a:lnTo>
                <a:cubicBezTo>
                  <a:pt x="1906675" y="0"/>
                  <a:pt x="1938659" y="31984"/>
                  <a:pt x="1938659" y="71439"/>
                </a:cubicBezTo>
                <a:lnTo>
                  <a:pt x="1938659" y="357186"/>
                </a:lnTo>
                <a:cubicBezTo>
                  <a:pt x="1938659" y="396641"/>
                  <a:pt x="1906675" y="428625"/>
                  <a:pt x="1867220" y="428625"/>
                </a:cubicBezTo>
                <a:lnTo>
                  <a:pt x="9848" y="428625"/>
                </a:lnTo>
                <a:cubicBezTo>
                  <a:pt x="-29607" y="428625"/>
                  <a:pt x="62234" y="337110"/>
                  <a:pt x="62234" y="297655"/>
                </a:cubicBezTo>
                <a:cubicBezTo>
                  <a:pt x="71362" y="255983"/>
                  <a:pt x="74934" y="206376"/>
                  <a:pt x="74140" y="178595"/>
                </a:cubicBezTo>
                <a:cubicBezTo>
                  <a:pt x="73346" y="150814"/>
                  <a:pt x="76521" y="155975"/>
                  <a:pt x="69378" y="126209"/>
                </a:cubicBezTo>
                <a:close/>
              </a:path>
            </a:pathLst>
          </a:custGeom>
          <a:solidFill>
            <a:schemeClr val="bg1">
              <a:lumMod val="85000"/>
            </a:schemeClr>
          </a:solidFill>
          <a:scene3d>
            <a:camera prst="perspectiveBelow" fov="3000000">
              <a:rot lat="2400000" lon="60000" rev="0"/>
            </a:camera>
            <a:lightRig rig="threePt" dir="t"/>
          </a:scene3d>
          <a:sp3d z="31750" extrusionH="82550" prstMaterial="plastic"/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  <a:p>
            <a:pPr algn="r"/>
            <a:r>
              <a:rPr lang="en-US" sz="1100">
                <a:ln>
                  <a:noFill/>
                </a:ln>
                <a:solidFill>
                  <a:schemeClr val="tx1"/>
                </a:solidFill>
                <a:effectLst>
                  <a:innerShdw blurRad="63500" dist="50800" dir="13500000">
                    <a:prstClr val="black">
                      <a:alpha val="50000"/>
                    </a:prstClr>
                  </a:innerShdw>
                </a:effectLst>
                <a:latin typeface="Franklin Gothic Book" panose="020B0503020102020204" pitchFamily="34" charset="0"/>
                <a:ea typeface="GungsuhChe" panose="02030609000101010101" pitchFamily="49" charset="-127"/>
              </a:rPr>
              <a:t> </a:t>
            </a:r>
          </a:p>
        </xdr:txBody>
      </xdr:sp>
      <xdr:sp macro="" textlink="">
        <xdr:nvSpPr>
          <xdr:cNvPr id="197" name="Status_C112"/>
          <xdr:cNvSpPr>
            <a:spLocks noChangeAspect="1"/>
          </xdr:cNvSpPr>
        </xdr:nvSpPr>
        <xdr:spPr>
          <a:xfrm>
            <a:off x="3154512" y="5296180"/>
            <a:ext cx="251699" cy="265134"/>
          </a:xfrm>
          <a:prstGeom prst="ellipse">
            <a:avLst/>
          </a:prstGeom>
          <a:solidFill>
            <a:srgbClr val="FF0000"/>
          </a:solidFill>
          <a:ln w="9525">
            <a:solidFill>
              <a:schemeClr val="bg2">
                <a:lumMod val="75000"/>
              </a:schemeClr>
            </a:solidFill>
          </a:ln>
          <a:effectLst>
            <a:outerShdw blurRad="50800" dist="38100" dir="13500000" algn="br" rotWithShape="0">
              <a:prstClr val="black">
                <a:alpha val="40000"/>
              </a:prstClr>
            </a:outerShdw>
          </a:effectLst>
          <a:scene3d>
            <a:camera prst="perspectiveBelow" fov="4500000">
              <a:rot lat="2100000" lon="60000" rev="0"/>
            </a:camera>
            <a:lightRig rig="threePt" dir="t"/>
          </a:scene3d>
          <a:sp3d z="63500" extrusionH="44450" contourW="12700" prstMaterial="plastic">
            <a:bevelT w="127000" h="63500" prst="coolSlant"/>
            <a:extrusionClr>
              <a:schemeClr val="bg2">
                <a:lumMod val="75000"/>
              </a:schemeClr>
            </a:extrusionClr>
            <a:contourClr>
              <a:schemeClr val="bg2">
                <a:lumMod val="75000"/>
              </a:schemeClr>
            </a:contourClr>
          </a:sp3d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8" name="Progress_C112"/>
          <xdr:cNvSpPr/>
        </xdr:nvSpPr>
        <xdr:spPr>
          <a:xfrm>
            <a:off x="1950291" y="5808102"/>
            <a:ext cx="1294956" cy="230748"/>
          </a:xfrm>
          <a:custGeom>
            <a:avLst/>
            <a:gdLst>
              <a:gd name="connsiteX0" fmla="*/ 0 w 1973613"/>
              <a:gd name="connsiteY0" fmla="*/ 17463 h 104775"/>
              <a:gd name="connsiteX1" fmla="*/ 17463 w 1973613"/>
              <a:gd name="connsiteY1" fmla="*/ 0 h 104775"/>
              <a:gd name="connsiteX2" fmla="*/ 1956150 w 1973613"/>
              <a:gd name="connsiteY2" fmla="*/ 0 h 104775"/>
              <a:gd name="connsiteX3" fmla="*/ 1973613 w 1973613"/>
              <a:gd name="connsiteY3" fmla="*/ 17463 h 104775"/>
              <a:gd name="connsiteX4" fmla="*/ 1973613 w 1973613"/>
              <a:gd name="connsiteY4" fmla="*/ 87312 h 104775"/>
              <a:gd name="connsiteX5" fmla="*/ 1956150 w 1973613"/>
              <a:gd name="connsiteY5" fmla="*/ 104775 h 104775"/>
              <a:gd name="connsiteX6" fmla="*/ 17463 w 1973613"/>
              <a:gd name="connsiteY6" fmla="*/ 104775 h 104775"/>
              <a:gd name="connsiteX7" fmla="*/ 0 w 1973613"/>
              <a:gd name="connsiteY7" fmla="*/ 87312 h 104775"/>
              <a:gd name="connsiteX8" fmla="*/ 0 w 1973613"/>
              <a:gd name="connsiteY8" fmla="*/ 17463 h 104775"/>
              <a:gd name="connsiteX0" fmla="*/ 0 w 1973758"/>
              <a:gd name="connsiteY0" fmla="*/ 20692 h 108004"/>
              <a:gd name="connsiteX1" fmla="*/ 17463 w 1973758"/>
              <a:gd name="connsiteY1" fmla="*/ 3229 h 108004"/>
              <a:gd name="connsiteX2" fmla="*/ 1965836 w 1973758"/>
              <a:gd name="connsiteY2" fmla="*/ 0 h 108004"/>
              <a:gd name="connsiteX3" fmla="*/ 1973613 w 1973758"/>
              <a:gd name="connsiteY3" fmla="*/ 20692 h 108004"/>
              <a:gd name="connsiteX4" fmla="*/ 1973613 w 1973758"/>
              <a:gd name="connsiteY4" fmla="*/ 90541 h 108004"/>
              <a:gd name="connsiteX5" fmla="*/ 1956150 w 1973758"/>
              <a:gd name="connsiteY5" fmla="*/ 108004 h 108004"/>
              <a:gd name="connsiteX6" fmla="*/ 17463 w 1973758"/>
              <a:gd name="connsiteY6" fmla="*/ 108004 h 108004"/>
              <a:gd name="connsiteX7" fmla="*/ 0 w 1973758"/>
              <a:gd name="connsiteY7" fmla="*/ 90541 h 108004"/>
              <a:gd name="connsiteX8" fmla="*/ 0 w 1973758"/>
              <a:gd name="connsiteY8" fmla="*/ 20692 h 108004"/>
              <a:gd name="connsiteX0" fmla="*/ 0 w 1976842"/>
              <a:gd name="connsiteY0" fmla="*/ 20692 h 108004"/>
              <a:gd name="connsiteX1" fmla="*/ 17463 w 1976842"/>
              <a:gd name="connsiteY1" fmla="*/ 3229 h 108004"/>
              <a:gd name="connsiteX2" fmla="*/ 1965836 w 1976842"/>
              <a:gd name="connsiteY2" fmla="*/ 0 h 108004"/>
              <a:gd name="connsiteX3" fmla="*/ 1976842 w 1976842"/>
              <a:gd name="connsiteY3" fmla="*/ 30378 h 108004"/>
              <a:gd name="connsiteX4" fmla="*/ 1973613 w 1976842"/>
              <a:gd name="connsiteY4" fmla="*/ 90541 h 108004"/>
              <a:gd name="connsiteX5" fmla="*/ 1956150 w 1976842"/>
              <a:gd name="connsiteY5" fmla="*/ 108004 h 108004"/>
              <a:gd name="connsiteX6" fmla="*/ 17463 w 1976842"/>
              <a:gd name="connsiteY6" fmla="*/ 108004 h 108004"/>
              <a:gd name="connsiteX7" fmla="*/ 0 w 1976842"/>
              <a:gd name="connsiteY7" fmla="*/ 90541 h 108004"/>
              <a:gd name="connsiteX8" fmla="*/ 0 w 1976842"/>
              <a:gd name="connsiteY8" fmla="*/ 20692 h 108004"/>
              <a:gd name="connsiteX0" fmla="*/ 0 w 1974490"/>
              <a:gd name="connsiteY0" fmla="*/ 20692 h 108004"/>
              <a:gd name="connsiteX1" fmla="*/ 17463 w 1974490"/>
              <a:gd name="connsiteY1" fmla="*/ 3229 h 108004"/>
              <a:gd name="connsiteX2" fmla="*/ 1965836 w 1974490"/>
              <a:gd name="connsiteY2" fmla="*/ 0 h 108004"/>
              <a:gd name="connsiteX3" fmla="*/ 1974459 w 1974490"/>
              <a:gd name="connsiteY3" fmla="*/ 37521 h 108004"/>
              <a:gd name="connsiteX4" fmla="*/ 1973613 w 1974490"/>
              <a:gd name="connsiteY4" fmla="*/ 90541 h 108004"/>
              <a:gd name="connsiteX5" fmla="*/ 1956150 w 1974490"/>
              <a:gd name="connsiteY5" fmla="*/ 108004 h 108004"/>
              <a:gd name="connsiteX6" fmla="*/ 17463 w 1974490"/>
              <a:gd name="connsiteY6" fmla="*/ 108004 h 108004"/>
              <a:gd name="connsiteX7" fmla="*/ 0 w 1974490"/>
              <a:gd name="connsiteY7" fmla="*/ 90541 h 108004"/>
              <a:gd name="connsiteX8" fmla="*/ 0 w 1974490"/>
              <a:gd name="connsiteY8" fmla="*/ 20692 h 108004"/>
              <a:gd name="connsiteX0" fmla="*/ 0 w 1976182"/>
              <a:gd name="connsiteY0" fmla="*/ 20692 h 108004"/>
              <a:gd name="connsiteX1" fmla="*/ 17463 w 1976182"/>
              <a:gd name="connsiteY1" fmla="*/ 3229 h 108004"/>
              <a:gd name="connsiteX2" fmla="*/ 1970604 w 1976182"/>
              <a:gd name="connsiteY2" fmla="*/ 0 h 108004"/>
              <a:gd name="connsiteX3" fmla="*/ 1974459 w 1976182"/>
              <a:gd name="connsiteY3" fmla="*/ 37521 h 108004"/>
              <a:gd name="connsiteX4" fmla="*/ 1973613 w 1976182"/>
              <a:gd name="connsiteY4" fmla="*/ 90541 h 108004"/>
              <a:gd name="connsiteX5" fmla="*/ 1956150 w 1976182"/>
              <a:gd name="connsiteY5" fmla="*/ 108004 h 108004"/>
              <a:gd name="connsiteX6" fmla="*/ 17463 w 1976182"/>
              <a:gd name="connsiteY6" fmla="*/ 108004 h 108004"/>
              <a:gd name="connsiteX7" fmla="*/ 0 w 1976182"/>
              <a:gd name="connsiteY7" fmla="*/ 90541 h 108004"/>
              <a:gd name="connsiteX8" fmla="*/ 0 w 1976182"/>
              <a:gd name="connsiteY8" fmla="*/ 20692 h 108004"/>
              <a:gd name="connsiteX0" fmla="*/ 0 w 1974459"/>
              <a:gd name="connsiteY0" fmla="*/ 20692 h 108004"/>
              <a:gd name="connsiteX1" fmla="*/ 17463 w 1974459"/>
              <a:gd name="connsiteY1" fmla="*/ 3229 h 108004"/>
              <a:gd name="connsiteX2" fmla="*/ 1970604 w 1974459"/>
              <a:gd name="connsiteY2" fmla="*/ 0 h 108004"/>
              <a:gd name="connsiteX3" fmla="*/ 1974459 w 1974459"/>
              <a:gd name="connsiteY3" fmla="*/ 37521 h 108004"/>
              <a:gd name="connsiteX4" fmla="*/ 1973613 w 1974459"/>
              <a:gd name="connsiteY4" fmla="*/ 90541 h 108004"/>
              <a:gd name="connsiteX5" fmla="*/ 1956150 w 1974459"/>
              <a:gd name="connsiteY5" fmla="*/ 108004 h 108004"/>
              <a:gd name="connsiteX6" fmla="*/ 17463 w 1974459"/>
              <a:gd name="connsiteY6" fmla="*/ 108004 h 108004"/>
              <a:gd name="connsiteX7" fmla="*/ 0 w 1974459"/>
              <a:gd name="connsiteY7" fmla="*/ 90541 h 108004"/>
              <a:gd name="connsiteX8" fmla="*/ 0 w 1974459"/>
              <a:gd name="connsiteY8" fmla="*/ 20692 h 108004"/>
              <a:gd name="connsiteX0" fmla="*/ 0 w 1977757"/>
              <a:gd name="connsiteY0" fmla="*/ 20692 h 108004"/>
              <a:gd name="connsiteX1" fmla="*/ 17463 w 1977757"/>
              <a:gd name="connsiteY1" fmla="*/ 3229 h 108004"/>
              <a:gd name="connsiteX2" fmla="*/ 1977755 w 1977757"/>
              <a:gd name="connsiteY2" fmla="*/ 0 h 108004"/>
              <a:gd name="connsiteX3" fmla="*/ 1974459 w 1977757"/>
              <a:gd name="connsiteY3" fmla="*/ 37521 h 108004"/>
              <a:gd name="connsiteX4" fmla="*/ 1973613 w 1977757"/>
              <a:gd name="connsiteY4" fmla="*/ 90541 h 108004"/>
              <a:gd name="connsiteX5" fmla="*/ 1956150 w 1977757"/>
              <a:gd name="connsiteY5" fmla="*/ 108004 h 108004"/>
              <a:gd name="connsiteX6" fmla="*/ 17463 w 1977757"/>
              <a:gd name="connsiteY6" fmla="*/ 108004 h 108004"/>
              <a:gd name="connsiteX7" fmla="*/ 0 w 1977757"/>
              <a:gd name="connsiteY7" fmla="*/ 90541 h 108004"/>
              <a:gd name="connsiteX8" fmla="*/ 0 w 1977757"/>
              <a:gd name="connsiteY8" fmla="*/ 20692 h 108004"/>
              <a:gd name="connsiteX0" fmla="*/ 0 w 1975380"/>
              <a:gd name="connsiteY0" fmla="*/ 23074 h 110386"/>
              <a:gd name="connsiteX1" fmla="*/ 17463 w 1975380"/>
              <a:gd name="connsiteY1" fmla="*/ 5611 h 110386"/>
              <a:gd name="connsiteX2" fmla="*/ 1975372 w 1975380"/>
              <a:gd name="connsiteY2" fmla="*/ 0 h 110386"/>
              <a:gd name="connsiteX3" fmla="*/ 1974459 w 1975380"/>
              <a:gd name="connsiteY3" fmla="*/ 39903 h 110386"/>
              <a:gd name="connsiteX4" fmla="*/ 1973613 w 1975380"/>
              <a:gd name="connsiteY4" fmla="*/ 92923 h 110386"/>
              <a:gd name="connsiteX5" fmla="*/ 1956150 w 1975380"/>
              <a:gd name="connsiteY5" fmla="*/ 110386 h 110386"/>
              <a:gd name="connsiteX6" fmla="*/ 17463 w 1975380"/>
              <a:gd name="connsiteY6" fmla="*/ 110386 h 110386"/>
              <a:gd name="connsiteX7" fmla="*/ 0 w 1975380"/>
              <a:gd name="connsiteY7" fmla="*/ 92923 h 110386"/>
              <a:gd name="connsiteX8" fmla="*/ 0 w 1975380"/>
              <a:gd name="connsiteY8" fmla="*/ 23074 h 110386"/>
              <a:gd name="connsiteX0" fmla="*/ 0 w 1975380"/>
              <a:gd name="connsiteY0" fmla="*/ 17463 h 104775"/>
              <a:gd name="connsiteX1" fmla="*/ 17463 w 1975380"/>
              <a:gd name="connsiteY1" fmla="*/ 0 h 104775"/>
              <a:gd name="connsiteX2" fmla="*/ 1975372 w 1975380"/>
              <a:gd name="connsiteY2" fmla="*/ 1532 h 104775"/>
              <a:gd name="connsiteX3" fmla="*/ 1974459 w 1975380"/>
              <a:gd name="connsiteY3" fmla="*/ 34292 h 104775"/>
              <a:gd name="connsiteX4" fmla="*/ 1973613 w 1975380"/>
              <a:gd name="connsiteY4" fmla="*/ 87312 h 104775"/>
              <a:gd name="connsiteX5" fmla="*/ 1956150 w 1975380"/>
              <a:gd name="connsiteY5" fmla="*/ 104775 h 104775"/>
              <a:gd name="connsiteX6" fmla="*/ 17463 w 1975380"/>
              <a:gd name="connsiteY6" fmla="*/ 104775 h 104775"/>
              <a:gd name="connsiteX7" fmla="*/ 0 w 1975380"/>
              <a:gd name="connsiteY7" fmla="*/ 87312 h 104775"/>
              <a:gd name="connsiteX8" fmla="*/ 0 w 1975380"/>
              <a:gd name="connsiteY8" fmla="*/ 17463 h 104775"/>
              <a:gd name="connsiteX0" fmla="*/ 0 w 1975380"/>
              <a:gd name="connsiteY0" fmla="*/ 15931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0 w 1975380"/>
              <a:gd name="connsiteY8" fmla="*/ 15931 h 103243"/>
              <a:gd name="connsiteX0" fmla="*/ 40522 w 1975380"/>
              <a:gd name="connsiteY0" fmla="*/ 37362 h 103243"/>
              <a:gd name="connsiteX1" fmla="*/ 84204 w 1975380"/>
              <a:gd name="connsiteY1" fmla="*/ 849 h 103243"/>
              <a:gd name="connsiteX2" fmla="*/ 1975372 w 1975380"/>
              <a:gd name="connsiteY2" fmla="*/ 0 h 103243"/>
              <a:gd name="connsiteX3" fmla="*/ 1974459 w 1975380"/>
              <a:gd name="connsiteY3" fmla="*/ 32760 h 103243"/>
              <a:gd name="connsiteX4" fmla="*/ 1973613 w 1975380"/>
              <a:gd name="connsiteY4" fmla="*/ 85780 h 103243"/>
              <a:gd name="connsiteX5" fmla="*/ 1956150 w 1975380"/>
              <a:gd name="connsiteY5" fmla="*/ 103243 h 103243"/>
              <a:gd name="connsiteX6" fmla="*/ 17463 w 1975380"/>
              <a:gd name="connsiteY6" fmla="*/ 103243 h 103243"/>
              <a:gd name="connsiteX7" fmla="*/ 0 w 1975380"/>
              <a:gd name="connsiteY7" fmla="*/ 85780 h 103243"/>
              <a:gd name="connsiteX8" fmla="*/ 40522 w 1975380"/>
              <a:gd name="connsiteY8" fmla="*/ 37362 h 1032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75380" h="103243">
                <a:moveTo>
                  <a:pt x="40522" y="37362"/>
                </a:moveTo>
                <a:cubicBezTo>
                  <a:pt x="40522" y="27717"/>
                  <a:pt x="74559" y="849"/>
                  <a:pt x="84204" y="849"/>
                </a:cubicBezTo>
                <a:lnTo>
                  <a:pt x="1975372" y="0"/>
                </a:lnTo>
                <a:cubicBezTo>
                  <a:pt x="1975483" y="0"/>
                  <a:pt x="1974459" y="23115"/>
                  <a:pt x="1974459" y="32760"/>
                </a:cubicBezTo>
                <a:lnTo>
                  <a:pt x="1973613" y="85780"/>
                </a:lnTo>
                <a:cubicBezTo>
                  <a:pt x="1973613" y="95425"/>
                  <a:pt x="1965795" y="103243"/>
                  <a:pt x="1956150" y="103243"/>
                </a:cubicBezTo>
                <a:lnTo>
                  <a:pt x="17463" y="103243"/>
                </a:lnTo>
                <a:cubicBezTo>
                  <a:pt x="7818" y="103243"/>
                  <a:pt x="0" y="95425"/>
                  <a:pt x="0" y="85780"/>
                </a:cubicBezTo>
                <a:lnTo>
                  <a:pt x="40522" y="37362"/>
                </a:lnTo>
                <a:close/>
              </a:path>
            </a:pathLst>
          </a:custGeom>
          <a:gradFill flip="none" rotWithShape="1">
            <a:gsLst>
              <a:gs pos="0">
                <a:srgbClr val="FFFFFF"/>
              </a:gs>
              <a:gs pos="100000">
                <a:srgbClr val="FFFFFF">
                  <a:tint val="0"/>
                </a:srgbClr>
              </a:gs>
            </a:gsLst>
            <a:lin ang="0" scaled="1"/>
            <a:tileRect/>
          </a:gradFill>
          <a:ln w="3175">
            <a:solidFill>
              <a:schemeClr val="bg2">
                <a:lumMod val="75000"/>
              </a:schemeClr>
            </a:solidFill>
          </a:ln>
          <a:scene3d>
            <a:camera prst="perspectiveBelow" fov="3000000">
              <a:rot lat="2640000" lon="60000" rev="0"/>
            </a:camera>
            <a:lightRig rig="threePt" dir="t"/>
          </a:scene3d>
          <a:sp3d z="38100" extrusionH="6350" contourW="12700" prstMaterial="plastic">
            <a:extrusionClr>
              <a:schemeClr val="bg2">
                <a:lumMod val="90000"/>
              </a:schemeClr>
            </a:extrusionClr>
            <a:contourClr>
              <a:schemeClr val="bg2">
                <a:lumMod val="50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 i="0">
              <a:solidFill>
                <a:schemeClr val="tx1"/>
              </a:solidFill>
              <a:latin typeface="Franklin Gothic Book" panose="020B0503020102020204" pitchFamily="34" charset="0"/>
              <a:cs typeface="Aharoni" panose="02010803020104030203" pitchFamily="2" charset="-79"/>
            </a:endParaRPr>
          </a:p>
        </xdr:txBody>
      </xdr:sp>
      <xdr:sp macro="" textlink="">
        <xdr:nvSpPr>
          <xdr:cNvPr id="199" name="Image_C112"/>
          <xdr:cNvSpPr/>
        </xdr:nvSpPr>
        <xdr:spPr>
          <a:xfrm>
            <a:off x="1371600" y="5310592"/>
            <a:ext cx="818670" cy="804457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  <a:scene3d>
            <a:camera prst="perspectiveBelow" fov="2400000">
              <a:rot lat="1800000" lon="0" rev="0"/>
            </a:camera>
            <a:lightRig rig="threePt" dir="t"/>
          </a:scene3d>
          <a:sp3d z="69850" extrusionH="171450" prstMaterial="plastic">
            <a:bevelT w="0" h="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IDLE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ActiveLabor" connectionId="1" autoFormatId="16" applyNumberFormats="0" applyBorderFormats="0" applyFontFormats="0" applyPatternFormats="0" applyAlignmentFormats="0" applyWidthHeightFormats="0">
  <queryTableRefresh nextId="33" unboundColumnsRight="4">
    <queryTableFields count="17">
      <queryTableField id="1" name="Resource ID" tableColumnId="1"/>
      <queryTableField id="6" name="OpNum" tableColumnId="6"/>
      <queryTableField id="20" name="JobNum" tableColumnId="2"/>
      <queryTableField id="21" name="PartNum" tableColumnId="3"/>
      <queryTableField id="23" name="ReqDueDate" tableColumnId="5"/>
      <queryTableField id="25" name="ClockInDate" tableColumnId="8"/>
      <queryTableField id="26" name="ResourceDescription" tableColumnId="9"/>
      <queryTableField id="27" name="ClockinTime" tableColumnId="10"/>
      <queryTableField id="28" name="LaborType" tableColumnId="11"/>
      <queryTableField id="29" name="ProdStandard" tableColumnId="12"/>
      <queryTableField id="30" name="TotalLabor" tableColumnId="13"/>
      <queryTableField id="31" name="ProdQty" tableColumnId="18"/>
      <queryTableField id="32" name="Employee" tableColumnId="19"/>
      <queryTableField id="14" dataBound="0" tableColumnId="14"/>
      <queryTableField id="15" dataBound="0" tableColumnId="15"/>
      <queryTableField id="16" dataBound="0" tableColumnId="16"/>
      <queryTableField id="19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ActiveLabor_Table" displayName="ActiveLabor_Table" ref="A1:Q65" tableType="queryTable" totalsRowShown="0" headerRowDxfId="18" dataDxfId="17">
  <autoFilter ref="A1:Q65"/>
  <tableColumns count="17">
    <tableColumn id="1" uniqueName="1" name="Resource ID" queryTableFieldId="1" dataDxfId="16"/>
    <tableColumn id="6" uniqueName="6" name="OpNum" queryTableFieldId="6" dataDxfId="15"/>
    <tableColumn id="2" uniqueName="2" name="JobNum" queryTableFieldId="20" dataDxfId="14"/>
    <tableColumn id="3" uniqueName="3" name="PartNum" queryTableFieldId="21" dataDxfId="13"/>
    <tableColumn id="5" uniqueName="5" name="ReqDueDate" queryTableFieldId="23" dataDxfId="12"/>
    <tableColumn id="8" uniqueName="8" name="ClockInDate" queryTableFieldId="25" dataDxfId="11"/>
    <tableColumn id="9" uniqueName="9" name="ResourceDescription" queryTableFieldId="26" dataDxfId="10"/>
    <tableColumn id="10" uniqueName="10" name="ClockinTime" queryTableFieldId="27" dataDxfId="9"/>
    <tableColumn id="11" uniqueName="11" name="LaborType" queryTableFieldId="28" dataDxfId="8"/>
    <tableColumn id="12" uniqueName="12" name="ProdStandard" queryTableFieldId="29" dataDxfId="7"/>
    <tableColumn id="13" uniqueName="13" name="TotalLabor" queryTableFieldId="30" dataDxfId="6"/>
    <tableColumn id="18" uniqueName="18" name="ProdQty" queryTableFieldId="31" dataDxfId="5"/>
    <tableColumn id="19" uniqueName="19" name="Employee" queryTableFieldId="32" dataDxfId="4"/>
    <tableColumn id="14" uniqueName="14" name="ProducedToday" queryTableFieldId="14" dataDxfId="3">
      <calculatedColumnFormula>IF(ActiveLabor_Table[[#This Row],[JobNum]]&lt;&gt;"",ROUND(($S$1-ActiveLabor_Table[[#This Row],[ClockinTime]])*24*ActiveLabor_Table[[#This Row],[ProdStandard]],0),"")</calculatedColumnFormula>
    </tableColumn>
    <tableColumn id="15" uniqueName="15" name="PercentComplete" queryTableFieldId="15" dataDxfId="0" dataCellStyle="Percent">
      <calculatedColumnFormula>IFERROR(ActiveLabor_Table[[#This Row],[TotalLabor]]/ActiveLabor_Table[[#This Row],[ProdQty]],"")</calculatedColumnFormula>
    </tableColumn>
    <tableColumn id="16" uniqueName="16" name="PercentToday" queryTableFieldId="16" dataDxfId="1" dataCellStyle="Percent">
      <calculatedColumnFormula>IFERROR(ActiveLabor_Table[[#This Row],[ProducedToday]]/ActiveLabor_Table[[#This Row],[ProdQty]],"")</calculatedColumnFormula>
    </tableColumn>
    <tableColumn id="17" uniqueName="17" name="TimeElapsed" queryTableFieldId="19" dataDxfId="2" dataCellStyle="Percent">
      <calculatedColumnFormula>IF(AND(ActiveLabor_Table[[#This Row],[JobNum]]&lt;&gt;"",ActiveLabor_Table[[#This Row],[LaborType]]="S"),($S$1-ActiveLabor_Table[[#This Row],[ClockinTime]]),"")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4:BL44"/>
  <sheetViews>
    <sheetView tabSelected="1" topLeftCell="A2" zoomScaleNormal="100" workbookViewId="0">
      <selection activeCell="AE31" sqref="AE31"/>
    </sheetView>
  </sheetViews>
  <sheetFormatPr defaultColWidth="0" defaultRowHeight="15" customHeight="1" x14ac:dyDescent="0.25"/>
  <cols>
    <col min="1" max="1" width="12.140625" customWidth="1"/>
    <col min="2" max="28" width="9.140625" customWidth="1"/>
    <col min="29" max="64" width="6.7109375" customWidth="1"/>
    <col min="65" max="16384" width="6.7109375" hidden="1"/>
  </cols>
  <sheetData>
    <row r="44" ht="20.25" customHeight="1" x14ac:dyDescent="0.25"/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00"/>
  <sheetViews>
    <sheetView topLeftCell="A31" workbookViewId="0">
      <selection activeCell="A17" sqref="A17"/>
    </sheetView>
  </sheetViews>
  <sheetFormatPr defaultRowHeight="15" x14ac:dyDescent="0.25"/>
  <cols>
    <col min="1" max="1" width="16" style="1" bestFit="1" customWidth="1"/>
    <col min="2" max="2" width="12.42578125" style="1" bestFit="1" customWidth="1"/>
    <col min="3" max="3" width="12.85546875" style="1" bestFit="1" customWidth="1"/>
    <col min="4" max="4" width="13.42578125" style="1" bestFit="1" customWidth="1"/>
    <col min="5" max="5" width="16.7109375" style="1" bestFit="1" customWidth="1"/>
    <col min="6" max="6" width="16.140625" style="1" customWidth="1"/>
    <col min="7" max="7" width="24.140625" style="1" bestFit="1" customWidth="1"/>
    <col min="8" max="8" width="16.42578125" style="1" bestFit="1" customWidth="1"/>
    <col min="9" max="9" width="14.7109375" style="1" customWidth="1"/>
    <col min="10" max="10" width="17.7109375" style="1" bestFit="1" customWidth="1"/>
    <col min="11" max="11" width="14.85546875" style="1" bestFit="1" customWidth="1"/>
    <col min="12" max="12" width="12.85546875" style="1" customWidth="1"/>
    <col min="13" max="13" width="14.42578125" style="1" customWidth="1"/>
    <col min="14" max="14" width="19.42578125" style="1" bestFit="1" customWidth="1"/>
    <col min="15" max="15" width="21.28515625" style="1" bestFit="1" customWidth="1"/>
    <col min="16" max="16" width="17.85546875" style="1" customWidth="1"/>
    <col min="17" max="17" width="16.85546875" style="1" customWidth="1"/>
    <col min="18" max="18" width="17.85546875" style="1" bestFit="1" customWidth="1"/>
    <col min="19" max="19" width="16.85546875" style="1" bestFit="1" customWidth="1"/>
    <col min="20" max="20" width="23.28515625" style="1" bestFit="1" customWidth="1"/>
    <col min="21" max="21" width="10.140625" style="1" bestFit="1" customWidth="1"/>
    <col min="22" max="22" width="22" style="1" bestFit="1" customWidth="1"/>
    <col min="23" max="23" width="22.5703125" style="1" bestFit="1" customWidth="1"/>
    <col min="24" max="24" width="9.140625" style="1"/>
    <col min="25" max="25" width="22.85546875" style="1" bestFit="1" customWidth="1"/>
    <col min="26" max="26" width="6" style="1" customWidth="1"/>
    <col min="27" max="27" width="24.85546875" style="1" bestFit="1" customWidth="1"/>
    <col min="28" max="28" width="25.140625" style="1" bestFit="1" customWidth="1"/>
    <col min="29" max="30" width="23.140625" style="1" customWidth="1"/>
    <col min="31" max="31" width="19" style="1" bestFit="1" customWidth="1"/>
    <col min="32" max="32" width="15.5703125" style="1" bestFit="1" customWidth="1"/>
    <col min="33" max="33" width="15.5703125" style="1" customWidth="1"/>
    <col min="34" max="34" width="13.85546875" style="1" bestFit="1" customWidth="1"/>
    <col min="35" max="16384" width="9.140625" style="1"/>
  </cols>
  <sheetData>
    <row r="1" spans="1:19" x14ac:dyDescent="0.25">
      <c r="A1" s="1" t="s">
        <v>0</v>
      </c>
      <c r="B1" s="1" t="s">
        <v>1</v>
      </c>
      <c r="C1" s="1" t="s">
        <v>79</v>
      </c>
      <c r="D1" s="1" t="s">
        <v>80</v>
      </c>
      <c r="E1" s="1" t="s">
        <v>81</v>
      </c>
      <c r="F1" s="1" t="s">
        <v>82</v>
      </c>
      <c r="G1" s="1" t="s">
        <v>83</v>
      </c>
      <c r="H1" s="1" t="s">
        <v>84</v>
      </c>
      <c r="I1" s="1" t="s">
        <v>85</v>
      </c>
      <c r="J1" s="1" t="s">
        <v>86</v>
      </c>
      <c r="K1" s="1" t="s">
        <v>87</v>
      </c>
      <c r="L1" s="1" t="s">
        <v>91</v>
      </c>
      <c r="M1" s="1" t="s">
        <v>92</v>
      </c>
      <c r="N1" s="1" t="s">
        <v>75</v>
      </c>
      <c r="O1" s="1" t="s">
        <v>76</v>
      </c>
      <c r="P1" s="1" t="s">
        <v>77</v>
      </c>
      <c r="Q1" s="1" t="s">
        <v>78</v>
      </c>
      <c r="S1" s="2">
        <f ca="1">NOW() - TODAY()</f>
        <v>0.71039108795957873</v>
      </c>
    </row>
    <row r="2" spans="1:19" x14ac:dyDescent="0.25">
      <c r="A2" s="1" t="s">
        <v>2</v>
      </c>
      <c r="H2" s="3"/>
      <c r="N2" s="1" t="str">
        <f>IF(ActiveLabor_Table[[#This Row],[JobNum]]&lt;&gt;"",ROUND(($S$1-ActiveLabor_Table[[#This Row],[ClockinTime]])*24*ActiveLabor_Table[[#This Row],[ProdStandard]],0),"")</f>
        <v/>
      </c>
      <c r="O2" s="4" t="str">
        <f>IFERROR(ActiveLabor_Table[[#This Row],[TotalLabor]]/ActiveLabor_Table[[#This Row],[ProdQty]],"")</f>
        <v/>
      </c>
      <c r="P2" s="4" t="str">
        <f>IFERROR(ActiveLabor_Table[[#This Row],[ProducedToday]]/ActiveLabor_Table[[#This Row],[ProdQty]],"")</f>
        <v/>
      </c>
      <c r="Q2" s="5" t="str">
        <f>IF(AND(ActiveLabor_Table[[#This Row],[JobNum]]&lt;&gt;"",ActiveLabor_Table[[#This Row],[LaborType]]="S"),($S$1-ActiveLabor_Table[[#This Row],[ClockinTime]]),"")</f>
        <v/>
      </c>
      <c r="R2" s="4"/>
      <c r="S2" s="6"/>
    </row>
    <row r="3" spans="1:19" x14ac:dyDescent="0.25">
      <c r="A3" s="1" t="s">
        <v>3</v>
      </c>
      <c r="H3" s="3"/>
      <c r="N3" s="1" t="str">
        <f>IF(ActiveLabor_Table[[#This Row],[JobNum]]&lt;&gt;"",ROUND(($S$1-ActiveLabor_Table[[#This Row],[ClockinTime]])*24*ActiveLabor_Table[[#This Row],[ProdStandard]],0),"")</f>
        <v/>
      </c>
      <c r="O3" s="4" t="str">
        <f>IFERROR(ActiveLabor_Table[[#This Row],[TotalLabor]]/ActiveLabor_Table[[#This Row],[ProdQty]],"")</f>
        <v/>
      </c>
      <c r="P3" s="4" t="str">
        <f>IFERROR(ActiveLabor_Table[[#This Row],[ProducedToday]]/ActiveLabor_Table[[#This Row],[ProdQty]],"")</f>
        <v/>
      </c>
      <c r="Q3" s="5" t="str">
        <f>IF(AND(ActiveLabor_Table[[#This Row],[JobNum]]&lt;&gt;"",ActiveLabor_Table[[#This Row],[LaborType]]="S"),($S$1-ActiveLabor_Table[[#This Row],[ClockinTime]]),"")</f>
        <v/>
      </c>
      <c r="R3" s="4"/>
      <c r="S3" s="6"/>
    </row>
    <row r="4" spans="1:19" x14ac:dyDescent="0.25">
      <c r="A4" s="1" t="s">
        <v>4</v>
      </c>
      <c r="H4" s="3"/>
      <c r="N4" s="1" t="str">
        <f>IF(ActiveLabor_Table[[#This Row],[JobNum]]&lt;&gt;"",ROUND(($S$1-ActiveLabor_Table[[#This Row],[ClockinTime]])*24*ActiveLabor_Table[[#This Row],[ProdStandard]],0),"")</f>
        <v/>
      </c>
      <c r="O4" s="4" t="str">
        <f>IFERROR(ActiveLabor_Table[[#This Row],[TotalLabor]]/ActiveLabor_Table[[#This Row],[ProdQty]],"")</f>
        <v/>
      </c>
      <c r="P4" s="4" t="str">
        <f>IFERROR(ActiveLabor_Table[[#This Row],[ProducedToday]]/ActiveLabor_Table[[#This Row],[ProdQty]],"")</f>
        <v/>
      </c>
      <c r="Q4" s="5" t="str">
        <f>IF(AND(ActiveLabor_Table[[#This Row],[JobNum]]&lt;&gt;"",ActiveLabor_Table[[#This Row],[LaborType]]="S"),($S$1-ActiveLabor_Table[[#This Row],[ClockinTime]]),"")</f>
        <v/>
      </c>
      <c r="R4" s="4"/>
      <c r="S4" s="6"/>
    </row>
    <row r="5" spans="1:19" x14ac:dyDescent="0.25">
      <c r="A5" s="1" t="s">
        <v>5</v>
      </c>
      <c r="H5" s="3"/>
      <c r="N5" s="1" t="str">
        <f>IF(ActiveLabor_Table[[#This Row],[JobNum]]&lt;&gt;"",ROUND(($S$1-ActiveLabor_Table[[#This Row],[ClockinTime]])*24*ActiveLabor_Table[[#This Row],[ProdStandard]],0),"")</f>
        <v/>
      </c>
      <c r="O5" s="4" t="str">
        <f>IFERROR(ActiveLabor_Table[[#This Row],[TotalLabor]]/ActiveLabor_Table[[#This Row],[ProdQty]],"")</f>
        <v/>
      </c>
      <c r="P5" s="4" t="str">
        <f>IFERROR(ActiveLabor_Table[[#This Row],[ProducedToday]]/ActiveLabor_Table[[#This Row],[ProdQty]],"")</f>
        <v/>
      </c>
      <c r="Q5" s="5" t="str">
        <f>IF(AND(ActiveLabor_Table[[#This Row],[JobNum]]&lt;&gt;"",ActiveLabor_Table[[#This Row],[LaborType]]="S"),($S$1-ActiveLabor_Table[[#This Row],[ClockinTime]]),"")</f>
        <v/>
      </c>
      <c r="R5" s="4"/>
      <c r="S5" s="6"/>
    </row>
    <row r="6" spans="1:19" x14ac:dyDescent="0.25">
      <c r="A6" s="1" t="s">
        <v>6</v>
      </c>
      <c r="H6" s="3"/>
      <c r="N6" s="1" t="str">
        <f>IF(ActiveLabor_Table[[#This Row],[JobNum]]&lt;&gt;"",ROUND(($S$1-ActiveLabor_Table[[#This Row],[ClockinTime]])*24*ActiveLabor_Table[[#This Row],[ProdStandard]],0),"")</f>
        <v/>
      </c>
      <c r="O6" s="4" t="str">
        <f>IFERROR(ActiveLabor_Table[[#This Row],[TotalLabor]]/ActiveLabor_Table[[#This Row],[ProdQty]],"")</f>
        <v/>
      </c>
      <c r="P6" s="4" t="str">
        <f>IFERROR(ActiveLabor_Table[[#This Row],[ProducedToday]]/ActiveLabor_Table[[#This Row],[ProdQty]],"")</f>
        <v/>
      </c>
      <c r="Q6" s="7" t="str">
        <f>IF(AND(ActiveLabor_Table[[#This Row],[JobNum]]&lt;&gt;"",ActiveLabor_Table[[#This Row],[LaborType]]="S"),($S$1-ActiveLabor_Table[[#This Row],[ClockinTime]]),"")</f>
        <v/>
      </c>
      <c r="R6" s="4"/>
    </row>
    <row r="7" spans="1:19" x14ac:dyDescent="0.25">
      <c r="A7" s="1" t="s">
        <v>7</v>
      </c>
      <c r="H7" s="3"/>
      <c r="N7" s="1" t="str">
        <f>IF(ActiveLabor_Table[[#This Row],[JobNum]]&lt;&gt;"",ROUND(($S$1-ActiveLabor_Table[[#This Row],[ClockinTime]])*24*ActiveLabor_Table[[#This Row],[ProdStandard]],0),"")</f>
        <v/>
      </c>
      <c r="O7" s="4" t="str">
        <f>IFERROR(ActiveLabor_Table[[#This Row],[TotalLabor]]/ActiveLabor_Table[[#This Row],[ProdQty]],"")</f>
        <v/>
      </c>
      <c r="P7" s="4" t="str">
        <f>IFERROR(ActiveLabor_Table[[#This Row],[ProducedToday]]/ActiveLabor_Table[[#This Row],[ProdQty]],"")</f>
        <v/>
      </c>
      <c r="Q7" s="7" t="str">
        <f>IF(AND(ActiveLabor_Table[[#This Row],[JobNum]]&lt;&gt;"",ActiveLabor_Table[[#This Row],[LaborType]]="S"),($S$1-ActiveLabor_Table[[#This Row],[ClockinTime]]),"")</f>
        <v/>
      </c>
      <c r="R7" s="4"/>
    </row>
    <row r="8" spans="1:19" x14ac:dyDescent="0.25">
      <c r="A8" s="1" t="s">
        <v>8</v>
      </c>
      <c r="H8" s="3"/>
      <c r="N8" s="1" t="str">
        <f>IF(ActiveLabor_Table[[#This Row],[JobNum]]&lt;&gt;"",ROUND(($S$1-ActiveLabor_Table[[#This Row],[ClockinTime]])*24*ActiveLabor_Table[[#This Row],[ProdStandard]],0),"")</f>
        <v/>
      </c>
      <c r="O8" s="4" t="str">
        <f>IFERROR(ActiveLabor_Table[[#This Row],[TotalLabor]]/ActiveLabor_Table[[#This Row],[ProdQty]],"")</f>
        <v/>
      </c>
      <c r="P8" s="4" t="str">
        <f>IFERROR(ActiveLabor_Table[[#This Row],[ProducedToday]]/ActiveLabor_Table[[#This Row],[ProdQty]],"")</f>
        <v/>
      </c>
      <c r="Q8" s="7" t="str">
        <f>IF(AND(ActiveLabor_Table[[#This Row],[JobNum]]&lt;&gt;"",ActiveLabor_Table[[#This Row],[LaborType]]="S"),($S$1-ActiveLabor_Table[[#This Row],[ClockinTime]]),"")</f>
        <v/>
      </c>
      <c r="R8" s="4"/>
    </row>
    <row r="9" spans="1:19" x14ac:dyDescent="0.25">
      <c r="A9" s="1" t="s">
        <v>9</v>
      </c>
      <c r="H9" s="3"/>
      <c r="N9" s="1" t="str">
        <f>IF(ActiveLabor_Table[[#This Row],[JobNum]]&lt;&gt;"",ROUND(($S$1-ActiveLabor_Table[[#This Row],[ClockinTime]])*24*ActiveLabor_Table[[#This Row],[ProdStandard]],0),"")</f>
        <v/>
      </c>
      <c r="O9" s="4" t="str">
        <f>IFERROR(ActiveLabor_Table[[#This Row],[TotalLabor]]/ActiveLabor_Table[[#This Row],[ProdQty]],"")</f>
        <v/>
      </c>
      <c r="P9" s="4" t="str">
        <f>IFERROR(ActiveLabor_Table[[#This Row],[ProducedToday]]/ActiveLabor_Table[[#This Row],[ProdQty]],"")</f>
        <v/>
      </c>
      <c r="Q9" s="7" t="str">
        <f>IF(AND(ActiveLabor_Table[[#This Row],[JobNum]]&lt;&gt;"",ActiveLabor_Table[[#This Row],[LaborType]]="S"),($S$1-ActiveLabor_Table[[#This Row],[ClockinTime]]),"")</f>
        <v/>
      </c>
      <c r="R9" s="4"/>
    </row>
    <row r="10" spans="1:19" x14ac:dyDescent="0.25">
      <c r="A10" s="1" t="s">
        <v>10</v>
      </c>
      <c r="H10" s="3"/>
      <c r="N10" s="1" t="str">
        <f>IF(ActiveLabor_Table[[#This Row],[JobNum]]&lt;&gt;"",ROUND(($S$1-ActiveLabor_Table[[#This Row],[ClockinTime]])*24*ActiveLabor_Table[[#This Row],[ProdStandard]],0),"")</f>
        <v/>
      </c>
      <c r="O10" s="4" t="str">
        <f>IFERROR(ActiveLabor_Table[[#This Row],[TotalLabor]]/ActiveLabor_Table[[#This Row],[ProdQty]],"")</f>
        <v/>
      </c>
      <c r="P10" s="4" t="str">
        <f>IFERROR(ActiveLabor_Table[[#This Row],[ProducedToday]]/ActiveLabor_Table[[#This Row],[ProdQty]],"")</f>
        <v/>
      </c>
      <c r="Q10" s="7" t="str">
        <f>IF(AND(ActiveLabor_Table[[#This Row],[JobNum]]&lt;&gt;"",ActiveLabor_Table[[#This Row],[LaborType]]="S"),($S$1-ActiveLabor_Table[[#This Row],[ClockinTime]]),"")</f>
        <v/>
      </c>
      <c r="R10" s="4"/>
    </row>
    <row r="11" spans="1:19" x14ac:dyDescent="0.25">
      <c r="A11" s="1" t="s">
        <v>11</v>
      </c>
      <c r="H11" s="3"/>
      <c r="N11" s="1" t="str">
        <f>IF(ActiveLabor_Table[[#This Row],[JobNum]]&lt;&gt;"",ROUND(($S$1-ActiveLabor_Table[[#This Row],[ClockinTime]])*24*ActiveLabor_Table[[#This Row],[ProdStandard]],0),"")</f>
        <v/>
      </c>
      <c r="O11" s="4" t="str">
        <f>IFERROR(ActiveLabor_Table[[#This Row],[TotalLabor]]/ActiveLabor_Table[[#This Row],[ProdQty]],"")</f>
        <v/>
      </c>
      <c r="P11" s="4" t="str">
        <f>IFERROR(ActiveLabor_Table[[#This Row],[ProducedToday]]/ActiveLabor_Table[[#This Row],[ProdQty]],"")</f>
        <v/>
      </c>
      <c r="Q11" s="7" t="str">
        <f>IF(AND(ActiveLabor_Table[[#This Row],[JobNum]]&lt;&gt;"",ActiveLabor_Table[[#This Row],[LaborType]]="S"),($S$1-ActiveLabor_Table[[#This Row],[ClockinTime]]),"")</f>
        <v/>
      </c>
      <c r="R11" s="4"/>
    </row>
    <row r="12" spans="1:19" x14ac:dyDescent="0.25">
      <c r="A12" s="1" t="s">
        <v>12</v>
      </c>
      <c r="H12" s="3"/>
      <c r="N12" s="1" t="str">
        <f>IF(ActiveLabor_Table[[#This Row],[JobNum]]&lt;&gt;"",ROUND(($S$1-ActiveLabor_Table[[#This Row],[ClockinTime]])*24*ActiveLabor_Table[[#This Row],[ProdStandard]],0),"")</f>
        <v/>
      </c>
      <c r="O12" s="4" t="str">
        <f>IFERROR(ActiveLabor_Table[[#This Row],[TotalLabor]]/ActiveLabor_Table[[#This Row],[ProdQty]],"")</f>
        <v/>
      </c>
      <c r="P12" s="4" t="str">
        <f>IFERROR(ActiveLabor_Table[[#This Row],[ProducedToday]]/ActiveLabor_Table[[#This Row],[ProdQty]],"")</f>
        <v/>
      </c>
      <c r="Q12" s="7" t="str">
        <f>IF(AND(ActiveLabor_Table[[#This Row],[JobNum]]&lt;&gt;"",ActiveLabor_Table[[#This Row],[LaborType]]="S"),($S$1-ActiveLabor_Table[[#This Row],[ClockinTime]]),"")</f>
        <v/>
      </c>
      <c r="R12" s="4"/>
    </row>
    <row r="13" spans="1:19" x14ac:dyDescent="0.25">
      <c r="A13" s="1" t="s">
        <v>13</v>
      </c>
      <c r="H13" s="3"/>
      <c r="N13" s="1" t="str">
        <f>IF(ActiveLabor_Table[[#This Row],[JobNum]]&lt;&gt;"",ROUND(($S$1-ActiveLabor_Table[[#This Row],[ClockinTime]])*24*ActiveLabor_Table[[#This Row],[ProdStandard]],0),"")</f>
        <v/>
      </c>
      <c r="O13" s="4" t="str">
        <f>IFERROR(ActiveLabor_Table[[#This Row],[TotalLabor]]/ActiveLabor_Table[[#This Row],[ProdQty]],"")</f>
        <v/>
      </c>
      <c r="P13" s="4" t="str">
        <f>IFERROR(ActiveLabor_Table[[#This Row],[ProducedToday]]/ActiveLabor_Table[[#This Row],[ProdQty]],"")</f>
        <v/>
      </c>
      <c r="Q13" s="7" t="str">
        <f>IF(AND(ActiveLabor_Table[[#This Row],[JobNum]]&lt;&gt;"",ActiveLabor_Table[[#This Row],[LaborType]]="S"),($S$1-ActiveLabor_Table[[#This Row],[ClockinTime]]),"")</f>
        <v/>
      </c>
      <c r="R13" s="4"/>
    </row>
    <row r="14" spans="1:19" x14ac:dyDescent="0.25">
      <c r="A14" s="1" t="s">
        <v>14</v>
      </c>
      <c r="H14" s="3"/>
      <c r="N14" s="1" t="str">
        <f>IF(ActiveLabor_Table[[#This Row],[JobNum]]&lt;&gt;"",ROUND(($S$1-ActiveLabor_Table[[#This Row],[ClockinTime]])*24*ActiveLabor_Table[[#This Row],[ProdStandard]],0),"")</f>
        <v/>
      </c>
      <c r="O14" s="4" t="str">
        <f>IFERROR(ActiveLabor_Table[[#This Row],[TotalLabor]]/ActiveLabor_Table[[#This Row],[ProdQty]],"")</f>
        <v/>
      </c>
      <c r="P14" s="4" t="str">
        <f>IFERROR(ActiveLabor_Table[[#This Row],[ProducedToday]]/ActiveLabor_Table[[#This Row],[ProdQty]],"")</f>
        <v/>
      </c>
      <c r="Q14" s="7" t="str">
        <f>IF(AND(ActiveLabor_Table[[#This Row],[JobNum]]&lt;&gt;"",ActiveLabor_Table[[#This Row],[LaborType]]="S"),($S$1-ActiveLabor_Table[[#This Row],[ClockinTime]]),"")</f>
        <v/>
      </c>
      <c r="R14" s="4"/>
    </row>
    <row r="15" spans="1:19" x14ac:dyDescent="0.25">
      <c r="A15" s="1" t="s">
        <v>15</v>
      </c>
      <c r="H15" s="3"/>
      <c r="N15" s="1" t="str">
        <f>IF(ActiveLabor_Table[[#This Row],[JobNum]]&lt;&gt;"",ROUND(($S$1-ActiveLabor_Table[[#This Row],[ClockinTime]])*24*ActiveLabor_Table[[#This Row],[ProdStandard]],0),"")</f>
        <v/>
      </c>
      <c r="O15" s="4" t="str">
        <f>IFERROR(ActiveLabor_Table[[#This Row],[TotalLabor]]/ActiveLabor_Table[[#This Row],[ProdQty]],"")</f>
        <v/>
      </c>
      <c r="P15" s="4" t="str">
        <f>IFERROR(ActiveLabor_Table[[#This Row],[ProducedToday]]/ActiveLabor_Table[[#This Row],[ProdQty]],"")</f>
        <v/>
      </c>
      <c r="Q15" s="7" t="str">
        <f>IF(AND(ActiveLabor_Table[[#This Row],[JobNum]]&lt;&gt;"",ActiveLabor_Table[[#This Row],[LaborType]]="S"),($S$1-ActiveLabor_Table[[#This Row],[ClockinTime]]),"")</f>
        <v/>
      </c>
      <c r="R15" s="4"/>
    </row>
    <row r="16" spans="1:19" x14ac:dyDescent="0.25">
      <c r="A16" s="1" t="s">
        <v>16</v>
      </c>
      <c r="H16" s="3"/>
      <c r="N16" s="1" t="str">
        <f>IF(ActiveLabor_Table[[#This Row],[JobNum]]&lt;&gt;"",ROUND(($S$1-ActiveLabor_Table[[#This Row],[ClockinTime]])*24*ActiveLabor_Table[[#This Row],[ProdStandard]],0),"")</f>
        <v/>
      </c>
      <c r="O16" s="4" t="str">
        <f>IFERROR(ActiveLabor_Table[[#This Row],[TotalLabor]]/ActiveLabor_Table[[#This Row],[ProdQty]],"")</f>
        <v/>
      </c>
      <c r="P16" s="4" t="str">
        <f>IFERROR(ActiveLabor_Table[[#This Row],[ProducedToday]]/ActiveLabor_Table[[#This Row],[ProdQty]],"")</f>
        <v/>
      </c>
      <c r="Q16" s="7" t="str">
        <f>IF(AND(ActiveLabor_Table[[#This Row],[JobNum]]&lt;&gt;"",ActiveLabor_Table[[#This Row],[LaborType]]="S"),($S$1-ActiveLabor_Table[[#This Row],[ClockinTime]]),"")</f>
        <v/>
      </c>
      <c r="R16" s="4"/>
    </row>
    <row r="17" spans="1:19" x14ac:dyDescent="0.25">
      <c r="A17" s="1" t="s">
        <v>17</v>
      </c>
      <c r="H17" s="3"/>
      <c r="N17" s="1" t="str">
        <f>IF(ActiveLabor_Table[[#This Row],[JobNum]]&lt;&gt;"",ROUND(($S$1-ActiveLabor_Table[[#This Row],[ClockinTime]])*24*ActiveLabor_Table[[#This Row],[ProdStandard]],0),"")</f>
        <v/>
      </c>
      <c r="O17" s="4" t="str">
        <f>IFERROR(ActiveLabor_Table[[#This Row],[TotalLabor]]/ActiveLabor_Table[[#This Row],[ProdQty]],"")</f>
        <v/>
      </c>
      <c r="P17" s="4" t="str">
        <f>IFERROR(ActiveLabor_Table[[#This Row],[ProducedToday]]/ActiveLabor_Table[[#This Row],[ProdQty]],"")</f>
        <v/>
      </c>
      <c r="Q17" s="7" t="str">
        <f>IF(AND(ActiveLabor_Table[[#This Row],[JobNum]]&lt;&gt;"",ActiveLabor_Table[[#This Row],[LaborType]]="S"),($S$1-ActiveLabor_Table[[#This Row],[ClockinTime]]),"")</f>
        <v/>
      </c>
      <c r="R17" s="4"/>
      <c r="S17" s="3"/>
    </row>
    <row r="18" spans="1:19" x14ac:dyDescent="0.25">
      <c r="A18" s="1" t="s">
        <v>20</v>
      </c>
      <c r="H18" s="3"/>
      <c r="N18" s="1" t="str">
        <f>IF(ActiveLabor_Table[[#This Row],[JobNum]]&lt;&gt;"",ROUND(($S$1-ActiveLabor_Table[[#This Row],[ClockinTime]])*24*ActiveLabor_Table[[#This Row],[ProdStandard]],0),"")</f>
        <v/>
      </c>
      <c r="O18" s="4" t="str">
        <f>IFERROR(ActiveLabor_Table[[#This Row],[TotalLabor]]/ActiveLabor_Table[[#This Row],[ProdQty]],"")</f>
        <v/>
      </c>
      <c r="P18" s="4" t="str">
        <f>IFERROR(ActiveLabor_Table[[#This Row],[ProducedToday]]/ActiveLabor_Table[[#This Row],[ProdQty]],"")</f>
        <v/>
      </c>
      <c r="Q18" s="7" t="str">
        <f>IF(AND(ActiveLabor_Table[[#This Row],[JobNum]]&lt;&gt;"",ActiveLabor_Table[[#This Row],[LaborType]]="S"),($S$1-ActiveLabor_Table[[#This Row],[ClockinTime]]),"")</f>
        <v/>
      </c>
      <c r="R18" s="4"/>
      <c r="S18" s="3"/>
    </row>
    <row r="19" spans="1:19" x14ac:dyDescent="0.25">
      <c r="A19" s="1" t="s">
        <v>21</v>
      </c>
      <c r="H19" s="3"/>
      <c r="N19" s="1" t="str">
        <f>IF(ActiveLabor_Table[[#This Row],[JobNum]]&lt;&gt;"",ROUND(($S$1-ActiveLabor_Table[[#This Row],[ClockinTime]])*24*ActiveLabor_Table[[#This Row],[ProdStandard]],0),"")</f>
        <v/>
      </c>
      <c r="O19" s="4" t="str">
        <f>IFERROR(ActiveLabor_Table[[#This Row],[TotalLabor]]/ActiveLabor_Table[[#This Row],[ProdQty]],"")</f>
        <v/>
      </c>
      <c r="P19" s="4" t="str">
        <f>IFERROR(ActiveLabor_Table[[#This Row],[ProducedToday]]/ActiveLabor_Table[[#This Row],[ProdQty]],"")</f>
        <v/>
      </c>
      <c r="Q19" s="7" t="str">
        <f>IF(AND(ActiveLabor_Table[[#This Row],[JobNum]]&lt;&gt;"",ActiveLabor_Table[[#This Row],[LaborType]]="S"),($S$1-ActiveLabor_Table[[#This Row],[ClockinTime]]),"")</f>
        <v/>
      </c>
      <c r="R19" s="4"/>
    </row>
    <row r="20" spans="1:19" x14ac:dyDescent="0.25">
      <c r="A20" s="1" t="s">
        <v>22</v>
      </c>
      <c r="H20" s="3"/>
      <c r="N20" s="1" t="str">
        <f>IF(ActiveLabor_Table[[#This Row],[JobNum]]&lt;&gt;"",ROUND(($S$1-ActiveLabor_Table[[#This Row],[ClockinTime]])*24*ActiveLabor_Table[[#This Row],[ProdStandard]],0),"")</f>
        <v/>
      </c>
      <c r="O20" s="4" t="str">
        <f>IFERROR(ActiveLabor_Table[[#This Row],[TotalLabor]]/ActiveLabor_Table[[#This Row],[ProdQty]],"")</f>
        <v/>
      </c>
      <c r="P20" s="4" t="str">
        <f>IFERROR(ActiveLabor_Table[[#This Row],[ProducedToday]]/ActiveLabor_Table[[#This Row],[ProdQty]],"")</f>
        <v/>
      </c>
      <c r="Q20" s="7" t="str">
        <f>IF(AND(ActiveLabor_Table[[#This Row],[JobNum]]&lt;&gt;"",ActiveLabor_Table[[#This Row],[LaborType]]="S"),($S$1-ActiveLabor_Table[[#This Row],[ClockinTime]]),"")</f>
        <v/>
      </c>
      <c r="R20" s="4"/>
    </row>
    <row r="21" spans="1:19" x14ac:dyDescent="0.25">
      <c r="A21" s="1" t="s">
        <v>23</v>
      </c>
      <c r="H21" s="3"/>
      <c r="N21" s="1" t="str">
        <f>IF(ActiveLabor_Table[[#This Row],[JobNum]]&lt;&gt;"",ROUND(($S$1-ActiveLabor_Table[[#This Row],[ClockinTime]])*24*ActiveLabor_Table[[#This Row],[ProdStandard]],0),"")</f>
        <v/>
      </c>
      <c r="O21" s="4" t="str">
        <f>IFERROR(ActiveLabor_Table[[#This Row],[TotalLabor]]/ActiveLabor_Table[[#This Row],[ProdQty]],"")</f>
        <v/>
      </c>
      <c r="P21" s="4" t="str">
        <f>IFERROR(ActiveLabor_Table[[#This Row],[ProducedToday]]/ActiveLabor_Table[[#This Row],[ProdQty]],"")</f>
        <v/>
      </c>
      <c r="Q21" s="7" t="str">
        <f>IF(AND(ActiveLabor_Table[[#This Row],[JobNum]]&lt;&gt;"",ActiveLabor_Table[[#This Row],[LaborType]]="S"),($S$1-ActiveLabor_Table[[#This Row],[ClockinTime]]),"")</f>
        <v/>
      </c>
      <c r="R21" s="4"/>
    </row>
    <row r="22" spans="1:19" x14ac:dyDescent="0.25">
      <c r="A22" s="1" t="s">
        <v>24</v>
      </c>
      <c r="H22" s="3"/>
      <c r="N22" s="1" t="str">
        <f>IF(ActiveLabor_Table[[#This Row],[JobNum]]&lt;&gt;"",ROUND(($S$1-ActiveLabor_Table[[#This Row],[ClockinTime]])*24*ActiveLabor_Table[[#This Row],[ProdStandard]],0),"")</f>
        <v/>
      </c>
      <c r="O22" s="4" t="str">
        <f>IFERROR(ActiveLabor_Table[[#This Row],[TotalLabor]]/ActiveLabor_Table[[#This Row],[ProdQty]],"")</f>
        <v/>
      </c>
      <c r="P22" s="4" t="str">
        <f>IFERROR(ActiveLabor_Table[[#This Row],[ProducedToday]]/ActiveLabor_Table[[#This Row],[ProdQty]],"")</f>
        <v/>
      </c>
      <c r="Q22" s="7" t="str">
        <f>IF(AND(ActiveLabor_Table[[#This Row],[JobNum]]&lt;&gt;"",ActiveLabor_Table[[#This Row],[LaborType]]="S"),($S$1-ActiveLabor_Table[[#This Row],[ClockinTime]]),"")</f>
        <v/>
      </c>
      <c r="R22" s="4"/>
    </row>
    <row r="23" spans="1:19" x14ac:dyDescent="0.25">
      <c r="A23" s="1" t="s">
        <v>25</v>
      </c>
      <c r="H23" s="3"/>
      <c r="N23" s="1" t="str">
        <f>IF(ActiveLabor_Table[[#This Row],[JobNum]]&lt;&gt;"",ROUND(($S$1-ActiveLabor_Table[[#This Row],[ClockinTime]])*24*ActiveLabor_Table[[#This Row],[ProdStandard]],0),"")</f>
        <v/>
      </c>
      <c r="O23" s="4" t="str">
        <f>IFERROR(ActiveLabor_Table[[#This Row],[TotalLabor]]/ActiveLabor_Table[[#This Row],[ProdQty]],"")</f>
        <v/>
      </c>
      <c r="P23" s="4" t="str">
        <f>IFERROR(ActiveLabor_Table[[#This Row],[ProducedToday]]/ActiveLabor_Table[[#This Row],[ProdQty]],"")</f>
        <v/>
      </c>
      <c r="Q23" s="7" t="str">
        <f>IF(AND(ActiveLabor_Table[[#This Row],[JobNum]]&lt;&gt;"",ActiveLabor_Table[[#This Row],[LaborType]]="S"),($S$1-ActiveLabor_Table[[#This Row],[ClockinTime]]),"")</f>
        <v/>
      </c>
      <c r="R23" s="4"/>
    </row>
    <row r="24" spans="1:19" x14ac:dyDescent="0.25">
      <c r="A24" s="1" t="s">
        <v>26</v>
      </c>
      <c r="H24" s="3"/>
      <c r="N24" s="1" t="str">
        <f>IF(ActiveLabor_Table[[#This Row],[JobNum]]&lt;&gt;"",ROUND(($S$1-ActiveLabor_Table[[#This Row],[ClockinTime]])*24*ActiveLabor_Table[[#This Row],[ProdStandard]],0),"")</f>
        <v/>
      </c>
      <c r="O24" s="4" t="str">
        <f>IFERROR(ActiveLabor_Table[[#This Row],[TotalLabor]]/ActiveLabor_Table[[#This Row],[ProdQty]],"")</f>
        <v/>
      </c>
      <c r="P24" s="4" t="str">
        <f>IFERROR(ActiveLabor_Table[[#This Row],[ProducedToday]]/ActiveLabor_Table[[#This Row],[ProdQty]],"")</f>
        <v/>
      </c>
      <c r="Q24" s="7" t="str">
        <f>IF(AND(ActiveLabor_Table[[#This Row],[JobNum]]&lt;&gt;"",ActiveLabor_Table[[#This Row],[LaborType]]="S"),($S$1-ActiveLabor_Table[[#This Row],[ClockinTime]]),"")</f>
        <v/>
      </c>
      <c r="R24" s="4"/>
    </row>
    <row r="25" spans="1:19" x14ac:dyDescent="0.25">
      <c r="A25" s="1" t="s">
        <v>27</v>
      </c>
      <c r="H25" s="3"/>
      <c r="N25" s="1" t="str">
        <f>IF(ActiveLabor_Table[[#This Row],[JobNum]]&lt;&gt;"",ROUND(($S$1-ActiveLabor_Table[[#This Row],[ClockinTime]])*24*ActiveLabor_Table[[#This Row],[ProdStandard]],0),"")</f>
        <v/>
      </c>
      <c r="O25" s="4" t="str">
        <f>IFERROR(ActiveLabor_Table[[#This Row],[TotalLabor]]/ActiveLabor_Table[[#This Row],[ProdQty]],"")</f>
        <v/>
      </c>
      <c r="P25" s="4" t="str">
        <f>IFERROR(ActiveLabor_Table[[#This Row],[ProducedToday]]/ActiveLabor_Table[[#This Row],[ProdQty]],"")</f>
        <v/>
      </c>
      <c r="Q25" s="7" t="str">
        <f>IF(AND(ActiveLabor_Table[[#This Row],[JobNum]]&lt;&gt;"",ActiveLabor_Table[[#This Row],[LaborType]]="S"),($S$1-ActiveLabor_Table[[#This Row],[ClockinTime]]),"")</f>
        <v/>
      </c>
      <c r="R25" s="4"/>
      <c r="S25" s="3"/>
    </row>
    <row r="26" spans="1:19" x14ac:dyDescent="0.25">
      <c r="A26" s="1" t="s">
        <v>28</v>
      </c>
      <c r="H26" s="3"/>
      <c r="N26" s="1" t="str">
        <f>IF(ActiveLabor_Table[[#This Row],[JobNum]]&lt;&gt;"",ROUND(($S$1-ActiveLabor_Table[[#This Row],[ClockinTime]])*24*ActiveLabor_Table[[#This Row],[ProdStandard]],0),"")</f>
        <v/>
      </c>
      <c r="O26" s="4" t="str">
        <f>IFERROR(ActiveLabor_Table[[#This Row],[TotalLabor]]/ActiveLabor_Table[[#This Row],[ProdQty]],"")</f>
        <v/>
      </c>
      <c r="P26" s="4" t="str">
        <f>IFERROR(ActiveLabor_Table[[#This Row],[ProducedToday]]/ActiveLabor_Table[[#This Row],[ProdQty]],"")</f>
        <v/>
      </c>
      <c r="Q26" s="7" t="str">
        <f>IF(AND(ActiveLabor_Table[[#This Row],[JobNum]]&lt;&gt;"",ActiveLabor_Table[[#This Row],[LaborType]]="S"),($S$1-ActiveLabor_Table[[#This Row],[ClockinTime]]),"")</f>
        <v/>
      </c>
      <c r="R26" s="4"/>
    </row>
    <row r="27" spans="1:19" x14ac:dyDescent="0.25">
      <c r="A27" s="1" t="s">
        <v>29</v>
      </c>
      <c r="H27" s="3"/>
      <c r="N27" s="1" t="str">
        <f>IF(ActiveLabor_Table[[#This Row],[JobNum]]&lt;&gt;"",ROUND(($S$1-ActiveLabor_Table[[#This Row],[ClockinTime]])*24*ActiveLabor_Table[[#This Row],[ProdStandard]],0),"")</f>
        <v/>
      </c>
      <c r="O27" s="4" t="str">
        <f>IFERROR(ActiveLabor_Table[[#This Row],[TotalLabor]]/ActiveLabor_Table[[#This Row],[ProdQty]],"")</f>
        <v/>
      </c>
      <c r="P27" s="4" t="str">
        <f>IFERROR(ActiveLabor_Table[[#This Row],[ProducedToday]]/ActiveLabor_Table[[#This Row],[ProdQty]],"")</f>
        <v/>
      </c>
      <c r="Q27" s="7" t="str">
        <f>IF(AND(ActiveLabor_Table[[#This Row],[JobNum]]&lt;&gt;"",ActiveLabor_Table[[#This Row],[LaborType]]="S"),($S$1-ActiveLabor_Table[[#This Row],[ClockinTime]]),"")</f>
        <v/>
      </c>
      <c r="R27" s="4"/>
    </row>
    <row r="28" spans="1:19" x14ac:dyDescent="0.25">
      <c r="A28" s="1" t="s">
        <v>30</v>
      </c>
      <c r="H28" s="3"/>
      <c r="N28" s="1" t="str">
        <f>IF(ActiveLabor_Table[[#This Row],[JobNum]]&lt;&gt;"",ROUND(($S$1-ActiveLabor_Table[[#This Row],[ClockinTime]])*24*ActiveLabor_Table[[#This Row],[ProdStandard]],0),"")</f>
        <v/>
      </c>
      <c r="O28" s="4" t="str">
        <f>IFERROR(ActiveLabor_Table[[#This Row],[TotalLabor]]/ActiveLabor_Table[[#This Row],[ProdQty]],"")</f>
        <v/>
      </c>
      <c r="P28" s="4" t="str">
        <f>IFERROR(ActiveLabor_Table[[#This Row],[ProducedToday]]/ActiveLabor_Table[[#This Row],[ProdQty]],"")</f>
        <v/>
      </c>
      <c r="Q28" s="7" t="str">
        <f>IF(AND(ActiveLabor_Table[[#This Row],[JobNum]]&lt;&gt;"",ActiveLabor_Table[[#This Row],[LaborType]]="S"),($S$1-ActiveLabor_Table[[#This Row],[ClockinTime]]),"")</f>
        <v/>
      </c>
      <c r="R28" s="4"/>
    </row>
    <row r="29" spans="1:19" x14ac:dyDescent="0.25">
      <c r="A29" s="1" t="s">
        <v>31</v>
      </c>
      <c r="H29" s="3"/>
      <c r="N29" s="1" t="str">
        <f>IF(ActiveLabor_Table[[#This Row],[JobNum]]&lt;&gt;"",ROUND(($S$1-ActiveLabor_Table[[#This Row],[ClockinTime]])*24*ActiveLabor_Table[[#This Row],[ProdStandard]],0),"")</f>
        <v/>
      </c>
      <c r="O29" s="4" t="str">
        <f>IFERROR(ActiveLabor_Table[[#This Row],[TotalLabor]]/ActiveLabor_Table[[#This Row],[ProdQty]],"")</f>
        <v/>
      </c>
      <c r="P29" s="4" t="str">
        <f>IFERROR(ActiveLabor_Table[[#This Row],[ProducedToday]]/ActiveLabor_Table[[#This Row],[ProdQty]],"")</f>
        <v/>
      </c>
      <c r="Q29" s="7" t="str">
        <f>IF(AND(ActiveLabor_Table[[#This Row],[JobNum]]&lt;&gt;"",ActiveLabor_Table[[#This Row],[LaborType]]="S"),($S$1-ActiveLabor_Table[[#This Row],[ClockinTime]]),"")</f>
        <v/>
      </c>
      <c r="R29" s="4"/>
    </row>
    <row r="30" spans="1:19" x14ac:dyDescent="0.25">
      <c r="A30" s="1" t="s">
        <v>32</v>
      </c>
      <c r="H30" s="3"/>
      <c r="N30" s="1" t="str">
        <f>IF(ActiveLabor_Table[[#This Row],[JobNum]]&lt;&gt;"",ROUND(($S$1-ActiveLabor_Table[[#This Row],[ClockinTime]])*24*ActiveLabor_Table[[#This Row],[ProdStandard]],0),"")</f>
        <v/>
      </c>
      <c r="O30" s="4" t="str">
        <f>IFERROR(ActiveLabor_Table[[#This Row],[TotalLabor]]/ActiveLabor_Table[[#This Row],[ProdQty]],"")</f>
        <v/>
      </c>
      <c r="P30" s="4" t="str">
        <f>IFERROR(ActiveLabor_Table[[#This Row],[ProducedToday]]/ActiveLabor_Table[[#This Row],[ProdQty]],"")</f>
        <v/>
      </c>
      <c r="Q30" s="7" t="str">
        <f>IF(AND(ActiveLabor_Table[[#This Row],[JobNum]]&lt;&gt;"",ActiveLabor_Table[[#This Row],[LaborType]]="S"),($S$1-ActiveLabor_Table[[#This Row],[ClockinTime]]),"")</f>
        <v/>
      </c>
      <c r="R30" s="4"/>
    </row>
    <row r="31" spans="1:19" x14ac:dyDescent="0.25">
      <c r="A31" s="1" t="s">
        <v>33</v>
      </c>
      <c r="H31" s="3"/>
      <c r="N31" s="1" t="str">
        <f>IF(ActiveLabor_Table[[#This Row],[JobNum]]&lt;&gt;"",ROUND(($S$1-ActiveLabor_Table[[#This Row],[ClockinTime]])*24*ActiveLabor_Table[[#This Row],[ProdStandard]],0),"")</f>
        <v/>
      </c>
      <c r="O31" s="4" t="str">
        <f>IFERROR(ActiveLabor_Table[[#This Row],[TotalLabor]]/ActiveLabor_Table[[#This Row],[ProdQty]],"")</f>
        <v/>
      </c>
      <c r="P31" s="4" t="str">
        <f>IFERROR(ActiveLabor_Table[[#This Row],[ProducedToday]]/ActiveLabor_Table[[#This Row],[ProdQty]],"")</f>
        <v/>
      </c>
      <c r="Q31" s="7" t="str">
        <f>IF(AND(ActiveLabor_Table[[#This Row],[JobNum]]&lt;&gt;"",ActiveLabor_Table[[#This Row],[LaborType]]="S"),($S$1-ActiveLabor_Table[[#This Row],[ClockinTime]]),"")</f>
        <v/>
      </c>
      <c r="R31" s="4"/>
    </row>
    <row r="32" spans="1:19" x14ac:dyDescent="0.25">
      <c r="A32" s="1" t="s">
        <v>34</v>
      </c>
      <c r="H32" s="3"/>
      <c r="N32" s="1" t="str">
        <f>IF(ActiveLabor_Table[[#This Row],[JobNum]]&lt;&gt;"",ROUND(($S$1-ActiveLabor_Table[[#This Row],[ClockinTime]])*24*ActiveLabor_Table[[#This Row],[ProdStandard]],0),"")</f>
        <v/>
      </c>
      <c r="O32" s="4" t="str">
        <f>IFERROR(ActiveLabor_Table[[#This Row],[TotalLabor]]/ActiveLabor_Table[[#This Row],[ProdQty]],"")</f>
        <v/>
      </c>
      <c r="P32" s="4" t="str">
        <f>IFERROR(ActiveLabor_Table[[#This Row],[ProducedToday]]/ActiveLabor_Table[[#This Row],[ProdQty]],"")</f>
        <v/>
      </c>
      <c r="Q32" s="7" t="str">
        <f>IF(AND(ActiveLabor_Table[[#This Row],[JobNum]]&lt;&gt;"",ActiveLabor_Table[[#This Row],[LaborType]]="S"),($S$1-ActiveLabor_Table[[#This Row],[ClockinTime]]),"")</f>
        <v/>
      </c>
      <c r="R32" s="4"/>
    </row>
    <row r="33" spans="1:18" x14ac:dyDescent="0.25">
      <c r="A33" s="1" t="s">
        <v>35</v>
      </c>
      <c r="H33" s="3"/>
      <c r="N33" s="1" t="str">
        <f>IF(ActiveLabor_Table[[#This Row],[JobNum]]&lt;&gt;"",ROUND(($S$1-ActiveLabor_Table[[#This Row],[ClockinTime]])*24*ActiveLabor_Table[[#This Row],[ProdStandard]],0),"")</f>
        <v/>
      </c>
      <c r="O33" s="4" t="str">
        <f>IFERROR(ActiveLabor_Table[[#This Row],[TotalLabor]]/ActiveLabor_Table[[#This Row],[ProdQty]],"")</f>
        <v/>
      </c>
      <c r="P33" s="4" t="str">
        <f>IFERROR(ActiveLabor_Table[[#This Row],[ProducedToday]]/ActiveLabor_Table[[#This Row],[ProdQty]],"")</f>
        <v/>
      </c>
      <c r="Q33" s="7" t="str">
        <f>IF(AND(ActiveLabor_Table[[#This Row],[JobNum]]&lt;&gt;"",ActiveLabor_Table[[#This Row],[LaborType]]="S"),($S$1-ActiveLabor_Table[[#This Row],[ClockinTime]]),"")</f>
        <v/>
      </c>
      <c r="R33" s="4"/>
    </row>
    <row r="34" spans="1:18" x14ac:dyDescent="0.25">
      <c r="A34" s="1" t="s">
        <v>36</v>
      </c>
      <c r="H34" s="3"/>
      <c r="N34" s="1" t="str">
        <f>IF(ActiveLabor_Table[[#This Row],[JobNum]]&lt;&gt;"",ROUND(($S$1-ActiveLabor_Table[[#This Row],[ClockinTime]])*24*ActiveLabor_Table[[#This Row],[ProdStandard]],0),"")</f>
        <v/>
      </c>
      <c r="O34" s="4" t="str">
        <f>IFERROR(ActiveLabor_Table[[#This Row],[TotalLabor]]/ActiveLabor_Table[[#This Row],[ProdQty]],"")</f>
        <v/>
      </c>
      <c r="P34" s="4" t="str">
        <f>IFERROR(ActiveLabor_Table[[#This Row],[ProducedToday]]/ActiveLabor_Table[[#This Row],[ProdQty]],"")</f>
        <v/>
      </c>
      <c r="Q34" s="7" t="str">
        <f>IF(AND(ActiveLabor_Table[[#This Row],[JobNum]]&lt;&gt;"",ActiveLabor_Table[[#This Row],[LaborType]]="S"),($S$1-ActiveLabor_Table[[#This Row],[ClockinTime]]),"")</f>
        <v/>
      </c>
      <c r="R34" s="4"/>
    </row>
    <row r="35" spans="1:18" x14ac:dyDescent="0.25">
      <c r="A35" s="1" t="s">
        <v>37</v>
      </c>
      <c r="H35" s="3"/>
      <c r="N35" s="1" t="str">
        <f>IF(ActiveLabor_Table[[#This Row],[JobNum]]&lt;&gt;"",ROUND(($S$1-ActiveLabor_Table[[#This Row],[ClockinTime]])*24*ActiveLabor_Table[[#This Row],[ProdStandard]],0),"")</f>
        <v/>
      </c>
      <c r="O35" s="4" t="str">
        <f>IFERROR(ActiveLabor_Table[[#This Row],[TotalLabor]]/ActiveLabor_Table[[#This Row],[ProdQty]],"")</f>
        <v/>
      </c>
      <c r="P35" s="4" t="str">
        <f>IFERROR(ActiveLabor_Table[[#This Row],[ProducedToday]]/ActiveLabor_Table[[#This Row],[ProdQty]],"")</f>
        <v/>
      </c>
      <c r="Q35" s="7" t="str">
        <f>IF(AND(ActiveLabor_Table[[#This Row],[JobNum]]&lt;&gt;"",ActiveLabor_Table[[#This Row],[LaborType]]="S"),($S$1-ActiveLabor_Table[[#This Row],[ClockinTime]]),"")</f>
        <v/>
      </c>
      <c r="R35" s="4"/>
    </row>
    <row r="36" spans="1:18" x14ac:dyDescent="0.25">
      <c r="A36" s="1" t="s">
        <v>38</v>
      </c>
      <c r="H36" s="3"/>
      <c r="N36" s="1" t="str">
        <f>IF(ActiveLabor_Table[[#This Row],[JobNum]]&lt;&gt;"",ROUND(($S$1-ActiveLabor_Table[[#This Row],[ClockinTime]])*24*ActiveLabor_Table[[#This Row],[ProdStandard]],0),"")</f>
        <v/>
      </c>
      <c r="O36" s="4" t="str">
        <f>IFERROR(ActiveLabor_Table[[#This Row],[TotalLabor]]/ActiveLabor_Table[[#This Row],[ProdQty]],"")</f>
        <v/>
      </c>
      <c r="P36" s="4" t="str">
        <f>IFERROR(ActiveLabor_Table[[#This Row],[ProducedToday]]/ActiveLabor_Table[[#This Row],[ProdQty]],"")</f>
        <v/>
      </c>
      <c r="Q36" s="7" t="str">
        <f>IF(AND(ActiveLabor_Table[[#This Row],[JobNum]]&lt;&gt;"",ActiveLabor_Table[[#This Row],[LaborType]]="S"),($S$1-ActiveLabor_Table[[#This Row],[ClockinTime]]),"")</f>
        <v/>
      </c>
      <c r="R36" s="4"/>
    </row>
    <row r="37" spans="1:18" x14ac:dyDescent="0.25">
      <c r="A37" s="1" t="s">
        <v>39</v>
      </c>
      <c r="H37" s="3"/>
      <c r="N37" s="1" t="str">
        <f>IF(ActiveLabor_Table[[#This Row],[JobNum]]&lt;&gt;"",ROUND(($S$1-ActiveLabor_Table[[#This Row],[ClockinTime]])*24*ActiveLabor_Table[[#This Row],[ProdStandard]],0),"")</f>
        <v/>
      </c>
      <c r="O37" s="4" t="str">
        <f>IFERROR(ActiveLabor_Table[[#This Row],[TotalLabor]]/ActiveLabor_Table[[#This Row],[ProdQty]],"")</f>
        <v/>
      </c>
      <c r="P37" s="4" t="str">
        <f>IFERROR(ActiveLabor_Table[[#This Row],[ProducedToday]]/ActiveLabor_Table[[#This Row],[ProdQty]],"")</f>
        <v/>
      </c>
      <c r="Q37" s="7" t="str">
        <f>IF(AND(ActiveLabor_Table[[#This Row],[JobNum]]&lt;&gt;"",ActiveLabor_Table[[#This Row],[LaborType]]="S"),($S$1-ActiveLabor_Table[[#This Row],[ClockinTime]]),"")</f>
        <v/>
      </c>
      <c r="R37" s="4"/>
    </row>
    <row r="38" spans="1:18" x14ac:dyDescent="0.25">
      <c r="A38" s="1" t="s">
        <v>40</v>
      </c>
      <c r="H38" s="3"/>
      <c r="N38" s="1" t="str">
        <f>IF(ActiveLabor_Table[[#This Row],[JobNum]]&lt;&gt;"",ROUND(($S$1-ActiveLabor_Table[[#This Row],[ClockinTime]])*24*ActiveLabor_Table[[#This Row],[ProdStandard]],0),"")</f>
        <v/>
      </c>
      <c r="O38" s="4" t="str">
        <f>IFERROR(ActiveLabor_Table[[#This Row],[TotalLabor]]/ActiveLabor_Table[[#This Row],[ProdQty]],"")</f>
        <v/>
      </c>
      <c r="P38" s="4" t="str">
        <f>IFERROR(ActiveLabor_Table[[#This Row],[ProducedToday]]/ActiveLabor_Table[[#This Row],[ProdQty]],"")</f>
        <v/>
      </c>
      <c r="Q38" s="7" t="str">
        <f>IF(AND(ActiveLabor_Table[[#This Row],[JobNum]]&lt;&gt;"",ActiveLabor_Table[[#This Row],[LaborType]]="S"),($S$1-ActiveLabor_Table[[#This Row],[ClockinTime]]),"")</f>
        <v/>
      </c>
      <c r="R38" s="4"/>
    </row>
    <row r="39" spans="1:18" x14ac:dyDescent="0.25">
      <c r="A39" s="1" t="s">
        <v>41</v>
      </c>
      <c r="H39" s="3"/>
      <c r="N39" s="1" t="str">
        <f>IF(ActiveLabor_Table[[#This Row],[JobNum]]&lt;&gt;"",ROUND(($S$1-ActiveLabor_Table[[#This Row],[ClockinTime]])*24*ActiveLabor_Table[[#This Row],[ProdStandard]],0),"")</f>
        <v/>
      </c>
      <c r="O39" s="4" t="str">
        <f>IFERROR(ActiveLabor_Table[[#This Row],[TotalLabor]]/ActiveLabor_Table[[#This Row],[ProdQty]],"")</f>
        <v/>
      </c>
      <c r="P39" s="4" t="str">
        <f>IFERROR(ActiveLabor_Table[[#This Row],[ProducedToday]]/ActiveLabor_Table[[#This Row],[ProdQty]],"")</f>
        <v/>
      </c>
      <c r="Q39" s="7" t="str">
        <f>IF(AND(ActiveLabor_Table[[#This Row],[JobNum]]&lt;&gt;"",ActiveLabor_Table[[#This Row],[LaborType]]="S"),($S$1-ActiveLabor_Table[[#This Row],[ClockinTime]]),"")</f>
        <v/>
      </c>
      <c r="R39" s="4"/>
    </row>
    <row r="40" spans="1:18" x14ac:dyDescent="0.25">
      <c r="A40" s="1" t="s">
        <v>42</v>
      </c>
      <c r="H40" s="3"/>
      <c r="N40" s="1" t="str">
        <f>IF(ActiveLabor_Table[[#This Row],[JobNum]]&lt;&gt;"",ROUND(($S$1-ActiveLabor_Table[[#This Row],[ClockinTime]])*24*ActiveLabor_Table[[#This Row],[ProdStandard]],0),"")</f>
        <v/>
      </c>
      <c r="O40" s="4" t="str">
        <f>IFERROR(ActiveLabor_Table[[#This Row],[TotalLabor]]/ActiveLabor_Table[[#This Row],[ProdQty]],"")</f>
        <v/>
      </c>
      <c r="P40" s="4" t="str">
        <f>IFERROR(ActiveLabor_Table[[#This Row],[ProducedToday]]/ActiveLabor_Table[[#This Row],[ProdQty]],"")</f>
        <v/>
      </c>
      <c r="Q40" s="7" t="str">
        <f>IF(AND(ActiveLabor_Table[[#This Row],[JobNum]]&lt;&gt;"",ActiveLabor_Table[[#This Row],[LaborType]]="S"),($S$1-ActiveLabor_Table[[#This Row],[ClockinTime]]),"")</f>
        <v/>
      </c>
      <c r="R40" s="4"/>
    </row>
    <row r="41" spans="1:18" x14ac:dyDescent="0.25">
      <c r="A41" s="1" t="s">
        <v>43</v>
      </c>
      <c r="H41" s="3"/>
      <c r="N41" s="1" t="str">
        <f>IF(ActiveLabor_Table[[#This Row],[JobNum]]&lt;&gt;"",ROUND(($S$1-ActiveLabor_Table[[#This Row],[ClockinTime]])*24*ActiveLabor_Table[[#This Row],[ProdStandard]],0),"")</f>
        <v/>
      </c>
      <c r="O41" s="4" t="str">
        <f>IFERROR(ActiveLabor_Table[[#This Row],[TotalLabor]]/ActiveLabor_Table[[#This Row],[ProdQty]],"")</f>
        <v/>
      </c>
      <c r="P41" s="4" t="str">
        <f>IFERROR(ActiveLabor_Table[[#This Row],[ProducedToday]]/ActiveLabor_Table[[#This Row],[ProdQty]],"")</f>
        <v/>
      </c>
      <c r="Q41" s="7" t="str">
        <f>IF(AND(ActiveLabor_Table[[#This Row],[JobNum]]&lt;&gt;"",ActiveLabor_Table[[#This Row],[LaborType]]="S"),($S$1-ActiveLabor_Table[[#This Row],[ClockinTime]]),"")</f>
        <v/>
      </c>
      <c r="R41" s="4"/>
    </row>
    <row r="42" spans="1:18" x14ac:dyDescent="0.25">
      <c r="A42" s="1" t="s">
        <v>44</v>
      </c>
      <c r="H42" s="3"/>
      <c r="N42" s="1" t="str">
        <f>IF(ActiveLabor_Table[[#This Row],[JobNum]]&lt;&gt;"",ROUND(($S$1-ActiveLabor_Table[[#This Row],[ClockinTime]])*24*ActiveLabor_Table[[#This Row],[ProdStandard]],0),"")</f>
        <v/>
      </c>
      <c r="O42" s="4" t="str">
        <f>IFERROR(ActiveLabor_Table[[#This Row],[TotalLabor]]/ActiveLabor_Table[[#This Row],[ProdQty]],"")</f>
        <v/>
      </c>
      <c r="P42" s="4" t="str">
        <f>IFERROR(ActiveLabor_Table[[#This Row],[ProducedToday]]/ActiveLabor_Table[[#This Row],[ProdQty]],"")</f>
        <v/>
      </c>
      <c r="Q42" s="7" t="str">
        <f>IF(AND(ActiveLabor_Table[[#This Row],[JobNum]]&lt;&gt;"",ActiveLabor_Table[[#This Row],[LaborType]]="S"),($S$1-ActiveLabor_Table[[#This Row],[ClockinTime]]),"")</f>
        <v/>
      </c>
      <c r="R42" s="4"/>
    </row>
    <row r="43" spans="1:18" x14ac:dyDescent="0.25">
      <c r="A43" s="1" t="s">
        <v>45</v>
      </c>
      <c r="H43" s="3"/>
      <c r="N43" s="1" t="str">
        <f>IF(ActiveLabor_Table[[#This Row],[JobNum]]&lt;&gt;"",ROUND(($S$1-ActiveLabor_Table[[#This Row],[ClockinTime]])*24*ActiveLabor_Table[[#This Row],[ProdStandard]],0),"")</f>
        <v/>
      </c>
      <c r="O43" s="4" t="str">
        <f>IFERROR(ActiveLabor_Table[[#This Row],[TotalLabor]]/ActiveLabor_Table[[#This Row],[ProdQty]],"")</f>
        <v/>
      </c>
      <c r="P43" s="4" t="str">
        <f>IFERROR(ActiveLabor_Table[[#This Row],[ProducedToday]]/ActiveLabor_Table[[#This Row],[ProdQty]],"")</f>
        <v/>
      </c>
      <c r="Q43" s="7" t="str">
        <f>IF(AND(ActiveLabor_Table[[#This Row],[JobNum]]&lt;&gt;"",ActiveLabor_Table[[#This Row],[LaborType]]="S"),($S$1-ActiveLabor_Table[[#This Row],[ClockinTime]]),"")</f>
        <v/>
      </c>
      <c r="R43" s="4"/>
    </row>
    <row r="44" spans="1:18" x14ac:dyDescent="0.25">
      <c r="A44" s="1" t="s">
        <v>46</v>
      </c>
      <c r="H44" s="3"/>
      <c r="N44" s="1" t="str">
        <f>IF(ActiveLabor_Table[[#This Row],[JobNum]]&lt;&gt;"",ROUND(($S$1-ActiveLabor_Table[[#This Row],[ClockinTime]])*24*ActiveLabor_Table[[#This Row],[ProdStandard]],0),"")</f>
        <v/>
      </c>
      <c r="O44" s="4" t="str">
        <f>IFERROR(ActiveLabor_Table[[#This Row],[TotalLabor]]/ActiveLabor_Table[[#This Row],[ProdQty]],"")</f>
        <v/>
      </c>
      <c r="P44" s="4" t="str">
        <f>IFERROR(ActiveLabor_Table[[#This Row],[ProducedToday]]/ActiveLabor_Table[[#This Row],[ProdQty]],"")</f>
        <v/>
      </c>
      <c r="Q44" s="7" t="str">
        <f>IF(AND(ActiveLabor_Table[[#This Row],[JobNum]]&lt;&gt;"",ActiveLabor_Table[[#This Row],[LaborType]]="S"),($S$1-ActiveLabor_Table[[#This Row],[ClockinTime]]),"")</f>
        <v/>
      </c>
      <c r="R44" s="4"/>
    </row>
    <row r="45" spans="1:18" x14ac:dyDescent="0.25">
      <c r="A45" s="1" t="s">
        <v>47</v>
      </c>
      <c r="H45" s="3"/>
      <c r="N45" s="1" t="str">
        <f>IF(ActiveLabor_Table[[#This Row],[JobNum]]&lt;&gt;"",ROUND(($S$1-ActiveLabor_Table[[#This Row],[ClockinTime]])*24*ActiveLabor_Table[[#This Row],[ProdStandard]],0),"")</f>
        <v/>
      </c>
      <c r="O45" s="4" t="str">
        <f>IFERROR(ActiveLabor_Table[[#This Row],[TotalLabor]]/ActiveLabor_Table[[#This Row],[ProdQty]],"")</f>
        <v/>
      </c>
      <c r="P45" s="4" t="str">
        <f>IFERROR(ActiveLabor_Table[[#This Row],[ProducedToday]]/ActiveLabor_Table[[#This Row],[ProdQty]],"")</f>
        <v/>
      </c>
      <c r="Q45" s="7" t="str">
        <f>IF(AND(ActiveLabor_Table[[#This Row],[JobNum]]&lt;&gt;"",ActiveLabor_Table[[#This Row],[LaborType]]="S"),($S$1-ActiveLabor_Table[[#This Row],[ClockinTime]]),"")</f>
        <v/>
      </c>
      <c r="R45" s="4"/>
    </row>
    <row r="46" spans="1:18" x14ac:dyDescent="0.25">
      <c r="A46" s="1" t="s">
        <v>48</v>
      </c>
      <c r="H46" s="3"/>
      <c r="N46" s="1" t="str">
        <f>IF(ActiveLabor_Table[[#This Row],[JobNum]]&lt;&gt;"",ROUND(($S$1-ActiveLabor_Table[[#This Row],[ClockinTime]])*24*ActiveLabor_Table[[#This Row],[ProdStandard]],0),"")</f>
        <v/>
      </c>
      <c r="O46" s="4" t="str">
        <f>IFERROR(ActiveLabor_Table[[#This Row],[TotalLabor]]/ActiveLabor_Table[[#This Row],[ProdQty]],"")</f>
        <v/>
      </c>
      <c r="P46" s="4" t="str">
        <f>IFERROR(ActiveLabor_Table[[#This Row],[ProducedToday]]/ActiveLabor_Table[[#This Row],[ProdQty]],"")</f>
        <v/>
      </c>
      <c r="Q46" s="7" t="str">
        <f>IF(AND(ActiveLabor_Table[[#This Row],[JobNum]]&lt;&gt;"",ActiveLabor_Table[[#This Row],[LaborType]]="S"),($S$1-ActiveLabor_Table[[#This Row],[ClockinTime]]),"")</f>
        <v/>
      </c>
      <c r="R46" s="4"/>
    </row>
    <row r="47" spans="1:18" x14ac:dyDescent="0.25">
      <c r="A47" s="1" t="s">
        <v>49</v>
      </c>
      <c r="H47" s="3"/>
      <c r="N47" s="1" t="str">
        <f>IF(ActiveLabor_Table[[#This Row],[JobNum]]&lt;&gt;"",ROUND(($S$1-ActiveLabor_Table[[#This Row],[ClockinTime]])*24*ActiveLabor_Table[[#This Row],[ProdStandard]],0),"")</f>
        <v/>
      </c>
      <c r="O47" s="4" t="str">
        <f>IFERROR(ActiveLabor_Table[[#This Row],[TotalLabor]]/ActiveLabor_Table[[#This Row],[ProdQty]],"")</f>
        <v/>
      </c>
      <c r="P47" s="4" t="str">
        <f>IFERROR(ActiveLabor_Table[[#This Row],[ProducedToday]]/ActiveLabor_Table[[#This Row],[ProdQty]],"")</f>
        <v/>
      </c>
      <c r="Q47" s="7" t="str">
        <f>IF(AND(ActiveLabor_Table[[#This Row],[JobNum]]&lt;&gt;"",ActiveLabor_Table[[#This Row],[LaborType]]="S"),($S$1-ActiveLabor_Table[[#This Row],[ClockinTime]]),"")</f>
        <v/>
      </c>
      <c r="R47" s="4"/>
    </row>
    <row r="48" spans="1:18" x14ac:dyDescent="0.25">
      <c r="A48" s="1" t="s">
        <v>50</v>
      </c>
      <c r="H48" s="3"/>
      <c r="N48" s="1" t="str">
        <f>IF(ActiveLabor_Table[[#This Row],[JobNum]]&lt;&gt;"",ROUND(($S$1-ActiveLabor_Table[[#This Row],[ClockinTime]])*24*ActiveLabor_Table[[#This Row],[ProdStandard]],0),"")</f>
        <v/>
      </c>
      <c r="O48" s="4" t="str">
        <f>IFERROR(ActiveLabor_Table[[#This Row],[TotalLabor]]/ActiveLabor_Table[[#This Row],[ProdQty]],"")</f>
        <v/>
      </c>
      <c r="P48" s="4" t="str">
        <f>IFERROR(ActiveLabor_Table[[#This Row],[ProducedToday]]/ActiveLabor_Table[[#This Row],[ProdQty]],"")</f>
        <v/>
      </c>
      <c r="Q48" s="7" t="str">
        <f>IF(AND(ActiveLabor_Table[[#This Row],[JobNum]]&lt;&gt;"",ActiveLabor_Table[[#This Row],[LaborType]]="S"),($S$1-ActiveLabor_Table[[#This Row],[ClockinTime]]),"")</f>
        <v/>
      </c>
      <c r="R48" s="4"/>
    </row>
    <row r="49" spans="1:18" x14ac:dyDescent="0.25">
      <c r="A49" s="1" t="s">
        <v>51</v>
      </c>
      <c r="H49" s="3"/>
      <c r="N49" s="1" t="str">
        <f>IF(ActiveLabor_Table[[#This Row],[JobNum]]&lt;&gt;"",ROUND(($S$1-ActiveLabor_Table[[#This Row],[ClockinTime]])*24*ActiveLabor_Table[[#This Row],[ProdStandard]],0),"")</f>
        <v/>
      </c>
      <c r="O49" s="4" t="str">
        <f>IFERROR(ActiveLabor_Table[[#This Row],[TotalLabor]]/ActiveLabor_Table[[#This Row],[ProdQty]],"")</f>
        <v/>
      </c>
      <c r="P49" s="4" t="str">
        <f>IFERROR(ActiveLabor_Table[[#This Row],[ProducedToday]]/ActiveLabor_Table[[#This Row],[ProdQty]],"")</f>
        <v/>
      </c>
      <c r="Q49" s="7" t="str">
        <f>IF(AND(ActiveLabor_Table[[#This Row],[JobNum]]&lt;&gt;"",ActiveLabor_Table[[#This Row],[LaborType]]="S"),($S$1-ActiveLabor_Table[[#This Row],[ClockinTime]]),"")</f>
        <v/>
      </c>
      <c r="R49" s="4"/>
    </row>
    <row r="50" spans="1:18" x14ac:dyDescent="0.25">
      <c r="A50" s="1" t="s">
        <v>52</v>
      </c>
      <c r="H50" s="3"/>
      <c r="N50" s="1" t="str">
        <f>IF(ActiveLabor_Table[[#This Row],[JobNum]]&lt;&gt;"",ROUND(($S$1-ActiveLabor_Table[[#This Row],[ClockinTime]])*24*ActiveLabor_Table[[#This Row],[ProdStandard]],0),"")</f>
        <v/>
      </c>
      <c r="O50" s="4" t="str">
        <f>IFERROR(ActiveLabor_Table[[#This Row],[TotalLabor]]/ActiveLabor_Table[[#This Row],[ProdQty]],"")</f>
        <v/>
      </c>
      <c r="P50" s="4" t="str">
        <f>IFERROR(ActiveLabor_Table[[#This Row],[ProducedToday]]/ActiveLabor_Table[[#This Row],[ProdQty]],"")</f>
        <v/>
      </c>
      <c r="Q50" s="7" t="str">
        <f>IF(AND(ActiveLabor_Table[[#This Row],[JobNum]]&lt;&gt;"",ActiveLabor_Table[[#This Row],[LaborType]]="S"),($S$1-ActiveLabor_Table[[#This Row],[ClockinTime]]),"")</f>
        <v/>
      </c>
      <c r="R50" s="4"/>
    </row>
    <row r="51" spans="1:18" x14ac:dyDescent="0.25">
      <c r="A51" s="1" t="s">
        <v>53</v>
      </c>
      <c r="H51" s="3"/>
      <c r="N51" s="1" t="str">
        <f>IF(ActiveLabor_Table[[#This Row],[JobNum]]&lt;&gt;"",ROUND(($S$1-ActiveLabor_Table[[#This Row],[ClockinTime]])*24*ActiveLabor_Table[[#This Row],[ProdStandard]],0),"")</f>
        <v/>
      </c>
      <c r="O51" s="4" t="str">
        <f>IFERROR(ActiveLabor_Table[[#This Row],[TotalLabor]]/ActiveLabor_Table[[#This Row],[ProdQty]],"")</f>
        <v/>
      </c>
      <c r="P51" s="4" t="str">
        <f>IFERROR(ActiveLabor_Table[[#This Row],[ProducedToday]]/ActiveLabor_Table[[#This Row],[ProdQty]],"")</f>
        <v/>
      </c>
      <c r="Q51" s="7" t="str">
        <f>IF(AND(ActiveLabor_Table[[#This Row],[JobNum]]&lt;&gt;"",ActiveLabor_Table[[#This Row],[LaborType]]="S"),($S$1-ActiveLabor_Table[[#This Row],[ClockinTime]]),"")</f>
        <v/>
      </c>
      <c r="R51" s="4"/>
    </row>
    <row r="52" spans="1:18" x14ac:dyDescent="0.25">
      <c r="A52" s="1" t="s">
        <v>54</v>
      </c>
      <c r="H52" s="3"/>
      <c r="N52" s="1" t="str">
        <f>IF(ActiveLabor_Table[[#This Row],[JobNum]]&lt;&gt;"",ROUND(($S$1-ActiveLabor_Table[[#This Row],[ClockinTime]])*24*ActiveLabor_Table[[#This Row],[ProdStandard]],0),"")</f>
        <v/>
      </c>
      <c r="O52" s="4" t="str">
        <f>IFERROR(ActiveLabor_Table[[#This Row],[TotalLabor]]/ActiveLabor_Table[[#This Row],[ProdQty]],"")</f>
        <v/>
      </c>
      <c r="P52" s="4" t="str">
        <f>IFERROR(ActiveLabor_Table[[#This Row],[ProducedToday]]/ActiveLabor_Table[[#This Row],[ProdQty]],"")</f>
        <v/>
      </c>
      <c r="Q52" s="7" t="str">
        <f>IF(AND(ActiveLabor_Table[[#This Row],[JobNum]]&lt;&gt;"",ActiveLabor_Table[[#This Row],[LaborType]]="S"),($S$1-ActiveLabor_Table[[#This Row],[ClockinTime]]),"")</f>
        <v/>
      </c>
      <c r="R52" s="4"/>
    </row>
    <row r="53" spans="1:18" x14ac:dyDescent="0.25">
      <c r="A53" s="1" t="s">
        <v>55</v>
      </c>
      <c r="H53" s="3"/>
      <c r="N53" s="1" t="str">
        <f>IF(ActiveLabor_Table[[#This Row],[JobNum]]&lt;&gt;"",ROUND(($S$1-ActiveLabor_Table[[#This Row],[ClockinTime]])*24*ActiveLabor_Table[[#This Row],[ProdStandard]],0),"")</f>
        <v/>
      </c>
      <c r="O53" s="4" t="str">
        <f>IFERROR(ActiveLabor_Table[[#This Row],[TotalLabor]]/ActiveLabor_Table[[#This Row],[ProdQty]],"")</f>
        <v/>
      </c>
      <c r="P53" s="4" t="str">
        <f>IFERROR(ActiveLabor_Table[[#This Row],[ProducedToday]]/ActiveLabor_Table[[#This Row],[ProdQty]],"")</f>
        <v/>
      </c>
      <c r="Q53" s="7" t="str">
        <f>IF(AND(ActiveLabor_Table[[#This Row],[JobNum]]&lt;&gt;"",ActiveLabor_Table[[#This Row],[LaborType]]="S"),($S$1-ActiveLabor_Table[[#This Row],[ClockinTime]]),"")</f>
        <v/>
      </c>
      <c r="R53" s="4"/>
    </row>
    <row r="54" spans="1:18" x14ac:dyDescent="0.25">
      <c r="A54" s="1" t="s">
        <v>56</v>
      </c>
      <c r="H54" s="3"/>
      <c r="N54" s="1" t="str">
        <f>IF(ActiveLabor_Table[[#This Row],[JobNum]]&lt;&gt;"",ROUND(($S$1-ActiveLabor_Table[[#This Row],[ClockinTime]])*24*ActiveLabor_Table[[#This Row],[ProdStandard]],0),"")</f>
        <v/>
      </c>
      <c r="O54" s="4" t="str">
        <f>IFERROR(ActiveLabor_Table[[#This Row],[TotalLabor]]/ActiveLabor_Table[[#This Row],[ProdQty]],"")</f>
        <v/>
      </c>
      <c r="P54" s="4" t="str">
        <f>IFERROR(ActiveLabor_Table[[#This Row],[ProducedToday]]/ActiveLabor_Table[[#This Row],[ProdQty]],"")</f>
        <v/>
      </c>
      <c r="Q54" s="7" t="str">
        <f>IF(AND(ActiveLabor_Table[[#This Row],[JobNum]]&lt;&gt;"",ActiveLabor_Table[[#This Row],[LaborType]]="S"),($S$1-ActiveLabor_Table[[#This Row],[ClockinTime]]),"")</f>
        <v/>
      </c>
      <c r="R54" s="4"/>
    </row>
    <row r="55" spans="1:18" x14ac:dyDescent="0.25">
      <c r="A55" s="1" t="s">
        <v>57</v>
      </c>
      <c r="B55" s="1">
        <v>60</v>
      </c>
      <c r="C55" s="1" t="s">
        <v>88</v>
      </c>
      <c r="D55" s="1" t="s">
        <v>89</v>
      </c>
      <c r="E55" s="1" t="s">
        <v>90</v>
      </c>
      <c r="F55" s="1" t="s">
        <v>18</v>
      </c>
      <c r="G55" s="1" t="s">
        <v>74</v>
      </c>
      <c r="H55" s="3">
        <v>0.66874999999999996</v>
      </c>
      <c r="I55" s="1" t="s">
        <v>19</v>
      </c>
      <c r="J55" s="1">
        <v>156.25</v>
      </c>
      <c r="K55" s="1">
        <v>235</v>
      </c>
      <c r="L55" s="1">
        <v>1576</v>
      </c>
      <c r="M55" s="1" t="s">
        <v>73</v>
      </c>
      <c r="N55" s="1">
        <f ca="1">IF(ActiveLabor_Table[[#This Row],[JobNum]]&lt;&gt;"",ROUND(($S$1-ActiveLabor_Table[[#This Row],[ClockinTime]])*24*ActiveLabor_Table[[#This Row],[ProdStandard]],0),"")</f>
        <v>156</v>
      </c>
      <c r="O55" s="4">
        <f>IFERROR(ActiveLabor_Table[[#This Row],[TotalLabor]]/ActiveLabor_Table[[#This Row],[ProdQty]],"")</f>
        <v>0.14911167512690354</v>
      </c>
      <c r="P55" s="4">
        <f ca="1">IFERROR(ActiveLabor_Table[[#This Row],[ProducedToday]]/ActiveLabor_Table[[#This Row],[ProdQty]],"")</f>
        <v>9.8984771573604066E-2</v>
      </c>
      <c r="Q55" s="7" t="str">
        <f>IF(AND(ActiveLabor_Table[[#This Row],[JobNum]]&lt;&gt;"",ActiveLabor_Table[[#This Row],[LaborType]]="S"),($S$1-ActiveLabor_Table[[#This Row],[ClockinTime]]),"")</f>
        <v/>
      </c>
      <c r="R55" s="4"/>
    </row>
    <row r="56" spans="1:18" x14ac:dyDescent="0.25">
      <c r="A56" s="1" t="s">
        <v>58</v>
      </c>
      <c r="H56" s="3"/>
      <c r="N56" s="1" t="str">
        <f>IF(ActiveLabor_Table[[#This Row],[JobNum]]&lt;&gt;"",ROUND(($S$1-ActiveLabor_Table[[#This Row],[ClockinTime]])*24*ActiveLabor_Table[[#This Row],[ProdStandard]],0),"")</f>
        <v/>
      </c>
      <c r="O56" s="4" t="str">
        <f>IFERROR(ActiveLabor_Table[[#This Row],[TotalLabor]]/ActiveLabor_Table[[#This Row],[ProdQty]],"")</f>
        <v/>
      </c>
      <c r="P56" s="4" t="str">
        <f>IFERROR(ActiveLabor_Table[[#This Row],[ProducedToday]]/ActiveLabor_Table[[#This Row],[ProdQty]],"")</f>
        <v/>
      </c>
      <c r="Q56" s="7" t="str">
        <f>IF(AND(ActiveLabor_Table[[#This Row],[JobNum]]&lt;&gt;"",ActiveLabor_Table[[#This Row],[LaborType]]="S"),($S$1-ActiveLabor_Table[[#This Row],[ClockinTime]]),"")</f>
        <v/>
      </c>
      <c r="R56" s="4"/>
    </row>
    <row r="57" spans="1:18" x14ac:dyDescent="0.25">
      <c r="A57" s="1" t="s">
        <v>59</v>
      </c>
      <c r="H57" s="3"/>
      <c r="N57" s="1" t="str">
        <f>IF(ActiveLabor_Table[[#This Row],[JobNum]]&lt;&gt;"",ROUND(($S$1-ActiveLabor_Table[[#This Row],[ClockinTime]])*24*ActiveLabor_Table[[#This Row],[ProdStandard]],0),"")</f>
        <v/>
      </c>
      <c r="O57" s="4" t="str">
        <f>IFERROR(ActiveLabor_Table[[#This Row],[TotalLabor]]/ActiveLabor_Table[[#This Row],[ProdQty]],"")</f>
        <v/>
      </c>
      <c r="P57" s="4" t="str">
        <f>IFERROR(ActiveLabor_Table[[#This Row],[ProducedToday]]/ActiveLabor_Table[[#This Row],[ProdQty]],"")</f>
        <v/>
      </c>
      <c r="Q57" s="7" t="str">
        <f>IF(AND(ActiveLabor_Table[[#This Row],[JobNum]]&lt;&gt;"",ActiveLabor_Table[[#This Row],[LaborType]]="S"),($S$1-ActiveLabor_Table[[#This Row],[ClockinTime]]),"")</f>
        <v/>
      </c>
      <c r="R57" s="4"/>
    </row>
    <row r="58" spans="1:18" x14ac:dyDescent="0.25">
      <c r="A58" s="1" t="s">
        <v>60</v>
      </c>
      <c r="H58" s="3"/>
      <c r="N58" s="1" t="str">
        <f>IF(ActiveLabor_Table[[#This Row],[JobNum]]&lt;&gt;"",ROUND(($S$1-ActiveLabor_Table[[#This Row],[ClockinTime]])*24*ActiveLabor_Table[[#This Row],[ProdStandard]],0),"")</f>
        <v/>
      </c>
      <c r="O58" s="4" t="str">
        <f>IFERROR(ActiveLabor_Table[[#This Row],[TotalLabor]]/ActiveLabor_Table[[#This Row],[ProdQty]],"")</f>
        <v/>
      </c>
      <c r="P58" s="4" t="str">
        <f>IFERROR(ActiveLabor_Table[[#This Row],[ProducedToday]]/ActiveLabor_Table[[#This Row],[ProdQty]],"")</f>
        <v/>
      </c>
      <c r="Q58" s="7" t="str">
        <f>IF(AND(ActiveLabor_Table[[#This Row],[JobNum]]&lt;&gt;"",ActiveLabor_Table[[#This Row],[LaborType]]="S"),($S$1-ActiveLabor_Table[[#This Row],[ClockinTime]]),"")</f>
        <v/>
      </c>
      <c r="R58" s="4"/>
    </row>
    <row r="59" spans="1:18" x14ac:dyDescent="0.25">
      <c r="A59" s="1" t="s">
        <v>61</v>
      </c>
      <c r="H59" s="3"/>
      <c r="N59" s="1" t="str">
        <f>IF(ActiveLabor_Table[[#This Row],[JobNum]]&lt;&gt;"",ROUND(($S$1-ActiveLabor_Table[[#This Row],[ClockinTime]])*24*ActiveLabor_Table[[#This Row],[ProdStandard]],0),"")</f>
        <v/>
      </c>
      <c r="O59" s="4" t="str">
        <f>IFERROR(ActiveLabor_Table[[#This Row],[TotalLabor]]/ActiveLabor_Table[[#This Row],[ProdQty]],"")</f>
        <v/>
      </c>
      <c r="P59" s="4" t="str">
        <f>IFERROR(ActiveLabor_Table[[#This Row],[ProducedToday]]/ActiveLabor_Table[[#This Row],[ProdQty]],"")</f>
        <v/>
      </c>
      <c r="Q59" s="7" t="str">
        <f>IF(AND(ActiveLabor_Table[[#This Row],[JobNum]]&lt;&gt;"",ActiveLabor_Table[[#This Row],[LaborType]]="S"),($S$1-ActiveLabor_Table[[#This Row],[ClockinTime]]),"")</f>
        <v/>
      </c>
      <c r="R59" s="4"/>
    </row>
    <row r="60" spans="1:18" x14ac:dyDescent="0.25">
      <c r="A60" s="1" t="s">
        <v>62</v>
      </c>
      <c r="B60" s="1">
        <v>40</v>
      </c>
      <c r="C60" s="1" t="s">
        <v>63</v>
      </c>
      <c r="D60" s="1" t="s">
        <v>64</v>
      </c>
      <c r="E60" s="1" t="s">
        <v>65</v>
      </c>
      <c r="F60" s="1" t="s">
        <v>18</v>
      </c>
      <c r="G60" s="1" t="s">
        <v>67</v>
      </c>
      <c r="H60" s="3">
        <v>0.61875000000000002</v>
      </c>
      <c r="I60" s="1" t="s">
        <v>19</v>
      </c>
      <c r="J60" s="1">
        <v>80</v>
      </c>
      <c r="K60" s="1">
        <v>705</v>
      </c>
      <c r="L60" s="1">
        <v>1600</v>
      </c>
      <c r="M60" s="1" t="s">
        <v>66</v>
      </c>
      <c r="N60" s="1">
        <f ca="1">IF(ActiveLabor_Table[[#This Row],[JobNum]]&lt;&gt;"",ROUND(($S$1-ActiveLabor_Table[[#This Row],[ClockinTime]])*24*ActiveLabor_Table[[#This Row],[ProdStandard]],0),"")</f>
        <v>176</v>
      </c>
      <c r="O60" s="4">
        <f>IFERROR(ActiveLabor_Table[[#This Row],[TotalLabor]]/ActiveLabor_Table[[#This Row],[ProdQty]],"")</f>
        <v>0.44062499999999999</v>
      </c>
      <c r="P60" s="4">
        <f ca="1">IFERROR(ActiveLabor_Table[[#This Row],[ProducedToday]]/ActiveLabor_Table[[#This Row],[ProdQty]],"")</f>
        <v>0.11</v>
      </c>
      <c r="Q60" s="7" t="str">
        <f>IF(AND(ActiveLabor_Table[[#This Row],[JobNum]]&lt;&gt;"",ActiveLabor_Table[[#This Row],[LaborType]]="S"),($S$1-ActiveLabor_Table[[#This Row],[ClockinTime]]),"")</f>
        <v/>
      </c>
      <c r="R60" s="4"/>
    </row>
    <row r="61" spans="1:18" x14ac:dyDescent="0.25">
      <c r="A61" s="1" t="s">
        <v>68</v>
      </c>
      <c r="H61" s="3"/>
      <c r="N61" s="1" t="str">
        <f>IF(ActiveLabor_Table[[#This Row],[JobNum]]&lt;&gt;"",ROUND(($S$1-ActiveLabor_Table[[#This Row],[ClockinTime]])*24*ActiveLabor_Table[[#This Row],[ProdStandard]],0),"")</f>
        <v/>
      </c>
      <c r="O61" s="4" t="str">
        <f>IFERROR(ActiveLabor_Table[[#This Row],[TotalLabor]]/ActiveLabor_Table[[#This Row],[ProdQty]],"")</f>
        <v/>
      </c>
      <c r="P61" s="4" t="str">
        <f>IFERROR(ActiveLabor_Table[[#This Row],[ProducedToday]]/ActiveLabor_Table[[#This Row],[ProdQty]],"")</f>
        <v/>
      </c>
      <c r="Q61" s="7" t="str">
        <f>IF(AND(ActiveLabor_Table[[#This Row],[JobNum]]&lt;&gt;"",ActiveLabor_Table[[#This Row],[LaborType]]="S"),($S$1-ActiveLabor_Table[[#This Row],[ClockinTime]]),"")</f>
        <v/>
      </c>
      <c r="R61" s="4"/>
    </row>
    <row r="62" spans="1:18" x14ac:dyDescent="0.25">
      <c r="A62" s="1" t="s">
        <v>69</v>
      </c>
      <c r="H62" s="3"/>
      <c r="N62" s="1" t="str">
        <f>IF(ActiveLabor_Table[[#This Row],[JobNum]]&lt;&gt;"",ROUND(($S$1-ActiveLabor_Table[[#This Row],[ClockinTime]])*24*ActiveLabor_Table[[#This Row],[ProdStandard]],0),"")</f>
        <v/>
      </c>
      <c r="O62" s="4" t="str">
        <f>IFERROR(ActiveLabor_Table[[#This Row],[TotalLabor]]/ActiveLabor_Table[[#This Row],[ProdQty]],"")</f>
        <v/>
      </c>
      <c r="P62" s="4" t="str">
        <f>IFERROR(ActiveLabor_Table[[#This Row],[ProducedToday]]/ActiveLabor_Table[[#This Row],[ProdQty]],"")</f>
        <v/>
      </c>
      <c r="Q62" s="7" t="str">
        <f>IF(AND(ActiveLabor_Table[[#This Row],[JobNum]]&lt;&gt;"",ActiveLabor_Table[[#This Row],[LaborType]]="S"),($S$1-ActiveLabor_Table[[#This Row],[ClockinTime]]),"")</f>
        <v/>
      </c>
      <c r="R62" s="4"/>
    </row>
    <row r="63" spans="1:18" x14ac:dyDescent="0.25">
      <c r="A63" s="1" t="s">
        <v>70</v>
      </c>
      <c r="H63" s="3"/>
      <c r="N63" s="1" t="str">
        <f>IF(ActiveLabor_Table[[#This Row],[JobNum]]&lt;&gt;"",ROUND(($S$1-ActiveLabor_Table[[#This Row],[ClockinTime]])*24*ActiveLabor_Table[[#This Row],[ProdStandard]],0),"")</f>
        <v/>
      </c>
      <c r="O63" s="4" t="str">
        <f>IFERROR(ActiveLabor_Table[[#This Row],[TotalLabor]]/ActiveLabor_Table[[#This Row],[ProdQty]],"")</f>
        <v/>
      </c>
      <c r="P63" s="4" t="str">
        <f>IFERROR(ActiveLabor_Table[[#This Row],[ProducedToday]]/ActiveLabor_Table[[#This Row],[ProdQty]],"")</f>
        <v/>
      </c>
      <c r="Q63" s="7" t="str">
        <f>IF(AND(ActiveLabor_Table[[#This Row],[JobNum]]&lt;&gt;"",ActiveLabor_Table[[#This Row],[LaborType]]="S"),($S$1-ActiveLabor_Table[[#This Row],[ClockinTime]]),"")</f>
        <v/>
      </c>
      <c r="R63" s="4"/>
    </row>
    <row r="64" spans="1:18" x14ac:dyDescent="0.25">
      <c r="A64" s="1" t="s">
        <v>71</v>
      </c>
      <c r="H64" s="3"/>
      <c r="N64" s="1" t="str">
        <f>IF(ActiveLabor_Table[[#This Row],[JobNum]]&lt;&gt;"",ROUND(($S$1-ActiveLabor_Table[[#This Row],[ClockinTime]])*24*ActiveLabor_Table[[#This Row],[ProdStandard]],0),"")</f>
        <v/>
      </c>
      <c r="O64" s="4" t="str">
        <f>IFERROR(ActiveLabor_Table[[#This Row],[TotalLabor]]/ActiveLabor_Table[[#This Row],[ProdQty]],"")</f>
        <v/>
      </c>
      <c r="P64" s="4" t="str">
        <f>IFERROR(ActiveLabor_Table[[#This Row],[ProducedToday]]/ActiveLabor_Table[[#This Row],[ProdQty]],"")</f>
        <v/>
      </c>
      <c r="Q64" s="7" t="str">
        <f>IF(AND(ActiveLabor_Table[[#This Row],[JobNum]]&lt;&gt;"",ActiveLabor_Table[[#This Row],[LaborType]]="S"),($S$1-ActiveLabor_Table[[#This Row],[ClockinTime]]),"")</f>
        <v/>
      </c>
      <c r="R64" s="4"/>
    </row>
    <row r="65" spans="1:18" x14ac:dyDescent="0.25">
      <c r="A65" s="1" t="s">
        <v>72</v>
      </c>
      <c r="H65" s="3"/>
      <c r="N65" s="1" t="str">
        <f>IF(ActiveLabor_Table[[#This Row],[JobNum]]&lt;&gt;"",ROUND(($S$1-ActiveLabor_Table[[#This Row],[ClockinTime]])*24*ActiveLabor_Table[[#This Row],[ProdStandard]],0),"")</f>
        <v/>
      </c>
      <c r="O65" s="4" t="str">
        <f>IFERROR(ActiveLabor_Table[[#This Row],[TotalLabor]]/ActiveLabor_Table[[#This Row],[ProdQty]],"")</f>
        <v/>
      </c>
      <c r="P65" s="4" t="str">
        <f>IFERROR(ActiveLabor_Table[[#This Row],[ProducedToday]]/ActiveLabor_Table[[#This Row],[ProdQty]],"")</f>
        <v/>
      </c>
      <c r="Q65" s="7" t="str">
        <f>IF(AND(ActiveLabor_Table[[#This Row],[JobNum]]&lt;&gt;"",ActiveLabor_Table[[#This Row],[LaborType]]="S"),($S$1-ActiveLabor_Table[[#This Row],[ClockinTime]]),"")</f>
        <v/>
      </c>
      <c r="R65" s="4"/>
    </row>
    <row r="66" spans="1:18" x14ac:dyDescent="0.25">
      <c r="J66" s="3"/>
    </row>
    <row r="67" spans="1:18" x14ac:dyDescent="0.25">
      <c r="J67" s="3"/>
    </row>
    <row r="68" spans="1:18" x14ac:dyDescent="0.25">
      <c r="J68" s="3"/>
    </row>
    <row r="69" spans="1:18" x14ac:dyDescent="0.25">
      <c r="J69" s="3"/>
    </row>
    <row r="70" spans="1:18" x14ac:dyDescent="0.25">
      <c r="J70" s="3"/>
    </row>
    <row r="71" spans="1:18" x14ac:dyDescent="0.25">
      <c r="J71" s="3"/>
    </row>
    <row r="72" spans="1:18" x14ac:dyDescent="0.25">
      <c r="J72" s="3"/>
    </row>
    <row r="73" spans="1:18" x14ac:dyDescent="0.25">
      <c r="J73" s="3"/>
    </row>
    <row r="74" spans="1:18" x14ac:dyDescent="0.25">
      <c r="J74" s="3"/>
    </row>
    <row r="75" spans="1:18" x14ac:dyDescent="0.25">
      <c r="J75" s="3"/>
    </row>
    <row r="76" spans="1:18" x14ac:dyDescent="0.25">
      <c r="J76" s="3"/>
    </row>
    <row r="77" spans="1:18" x14ac:dyDescent="0.25">
      <c r="J77" s="3"/>
    </row>
    <row r="78" spans="1:18" x14ac:dyDescent="0.25">
      <c r="J78" s="3"/>
    </row>
    <row r="79" spans="1:18" x14ac:dyDescent="0.25">
      <c r="J79" s="3"/>
    </row>
    <row r="80" spans="1:18" x14ac:dyDescent="0.25">
      <c r="J80" s="3"/>
    </row>
    <row r="81" spans="10:10" x14ac:dyDescent="0.25">
      <c r="J81" s="3"/>
    </row>
    <row r="82" spans="10:10" x14ac:dyDescent="0.25">
      <c r="J82" s="3"/>
    </row>
    <row r="83" spans="10:10" x14ac:dyDescent="0.25">
      <c r="J83" s="3"/>
    </row>
    <row r="84" spans="10:10" x14ac:dyDescent="0.25">
      <c r="J84" s="3"/>
    </row>
    <row r="85" spans="10:10" x14ac:dyDescent="0.25">
      <c r="J85" s="3"/>
    </row>
    <row r="86" spans="10:10" x14ac:dyDescent="0.25">
      <c r="J86" s="3"/>
    </row>
    <row r="87" spans="10:10" x14ac:dyDescent="0.25">
      <c r="J87" s="3"/>
    </row>
    <row r="88" spans="10:10" x14ac:dyDescent="0.25">
      <c r="J88" s="3"/>
    </row>
    <row r="89" spans="10:10" x14ac:dyDescent="0.25">
      <c r="J89" s="3"/>
    </row>
    <row r="90" spans="10:10" x14ac:dyDescent="0.25">
      <c r="J90" s="3"/>
    </row>
    <row r="91" spans="10:10" x14ac:dyDescent="0.25">
      <c r="J91" s="3"/>
    </row>
    <row r="92" spans="10:10" x14ac:dyDescent="0.25">
      <c r="J92" s="3"/>
    </row>
    <row r="93" spans="10:10" x14ac:dyDescent="0.25">
      <c r="J93" s="3"/>
    </row>
    <row r="94" spans="10:10" x14ac:dyDescent="0.25">
      <c r="J94" s="3"/>
    </row>
    <row r="95" spans="10:10" x14ac:dyDescent="0.25">
      <c r="J95" s="3"/>
    </row>
    <row r="96" spans="10:10" x14ac:dyDescent="0.25">
      <c r="J96" s="3"/>
    </row>
    <row r="97" spans="10:10" x14ac:dyDescent="0.25">
      <c r="J97" s="3"/>
    </row>
    <row r="98" spans="10:10" x14ac:dyDescent="0.25">
      <c r="J98" s="3"/>
    </row>
    <row r="99" spans="10:10" x14ac:dyDescent="0.25">
      <c r="J99" s="3"/>
    </row>
    <row r="100" spans="10:10" x14ac:dyDescent="0.25">
      <c r="J100" s="3"/>
    </row>
  </sheetData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38" sqref="C3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ShopFloor</vt:lpstr>
      <vt:lpstr>LaborData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2016-07-05T19:12:27Z</dcterms:created>
  <dcterms:modified xsi:type="dcterms:W3CDTF">2016-07-05T21:36:43Z</dcterms:modified>
</cp:coreProperties>
</file>